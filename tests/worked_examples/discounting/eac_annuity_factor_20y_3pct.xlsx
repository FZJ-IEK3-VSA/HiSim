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factor" vbProcedure="false">Example!$B$16</definedName>
    <definedName function="false" hidden="false" name="annuity_factor_via_pmt" vbProcedure="false">Example!$B$17</definedName>
    <definedName function="false" hidden="false" name="cash_flow_year_0_in_euro" vbProcedure="false">Example!$B$13</definedName>
    <definedName function="false" hidden="false" name="discount_factor_year_20" vbProcedure="false">Example!$B$18</definedName>
    <definedName function="false" hidden="false" name="eac_in_euro" vbProcedure="false">Example!$B$20</definedName>
    <definedName function="false" hidden="false" name="interest_rate" vbProcedure="false">Example!$B$11</definedName>
    <definedName function="false" hidden="false" name="npv_in_euro" vbProcedure="false">Example!$B$19</definedName>
    <definedName function="false" hidden="false" name="observation_period_in_years" vbProcedure="false">Example!$B$12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<sst xmlns="http://schemas.openxmlformats.org/spreadsheetml/2006/main" count="35" uniqueCount="33">
  <si>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METADATA</t>
  </si>
  <si>
    <t xml:space="preserve">value</t>
  </si>
  <si>
    <t xml:space="preserve">name</t>
  </si>
  <si>
    <t xml:space="preserve">eac_annuity_factor_20y_3pct</t>
  </si>
  <si>
    <t xml:space="preserve">spec_section</t>
  </si>
  <si>
    <t xml:space="preserve">3.2</t>
  </si>
  <si>
    <t xml:space="preserve">computed_by</t>
  </si>
  <si>
    <t xml:space="preserve">Claude draft + LibreOffice recalculation, 2026-08-12</t>
  </si>
  <si>
    <t xml:space="preserve">description</t>
  </si>
  <si>
    <t xml:space="preserve">Equivalent annual cost of a single 30,000 EUR outlay over a 20-year observation period at 3 %: the annuity factor converts a present value into the constant annual payment with the same present value. Excel's PMT on a present value of one reproduces the same factor.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</si>
  <si>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</si>
  <si>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</si>
  <si>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</si>
  <si>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</si>
  <si>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</si>
  <si>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</si>
  <si>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interest_rate</t>
  </si>
  <si>
    <t xml:space="preserve">discount rate</t>
  </si>
  <si>
    <t xml:space="preserve">observation_period_in_years</t>
  </si>
  <si>
    <t xml:space="preserve">horizon</t>
  </si>
  <si>
    <t xml:space="preserve">cash_flow_year_0_in_euro</t>
  </si>
  <si>
    <t xml:space="preserve">one single outlay at year 0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</si>
  <si>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</si>
  <si>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</si>
  <si>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</si>
  <si>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</si>
  <si>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annuity_factor</t>
  </si>
  <si>
    <t xml:space="preserve">VDI 2067 Annuitätsfaktor / capital recovery factor; the reciprocal of the present-value annuity factor</t>
  </si>
  <si>
    <t xml:space="preserve">annuity_factor_via_pmt</t>
  </si>
  <si>
    <t xml:space="preserve">Excel's PMT on a present value of 1 is the annuity factor by definition</t>
  </si>
  <si>
    <t xml:space="preserve">discount_factor_year_20</t>
  </si>
  <si>
    <t xml:space="preserve">npv_in_euro</t>
  </si>
  <si>
    <t xml:space="preserve">eac_in_euro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</si>
</sst>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0.03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20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30000</v>
      </c>
      <c r="C13" s="3" t="s">
        <v>21</v>
      </c>
    </row>
    <row r="14" customFormat="false" ht="15" hidden="false" customHeight="true" outlineLevel="0" collapsed="false">
      <c r="C14" s="3"/>
    </row>
    <row r="15" customFormat="false" ht="15" hidden="false" customHeight="true" outlineLevel="0" collapsed="false">
      <c r="A15" s="2" t="s">
        <v>22</v>
      </c>
      <c r="B15" s="2" t="s">
        <v>1</v>
      </c>
      <c r="C15" s="4" t="s">
        <v>23</v>
      </c>
      <c r="D15" s="2" t="s">
        <v>24</v>
      </c>
      <c r="E15" s="1" t="s">
        <v>25</v>
      </c>
    </row>
    <row r="16" customFormat="false" ht="15" hidden="false" customHeight="true" outlineLevel="0" collapsed="false">
      <c r="A16" s="1" t="s">
        <v>26</v>
      </c>
      <c r="B16" s="1" t="n">
        <f aca="false">interest_rate*(1+interest_rate)^observation_period_in_years/((1+interest_rate)^observation_period_in_years-1)</f>
        <v>0.0672157075968591</v>
      </c>
      <c r="C16" s="3" t="n">
        <v>1E-006</v>
      </c>
      <c r="D16" s="1" t="s">
        <v>27</v>
      </c>
    </row>
    <row r="17" customFormat="false" ht="15" hidden="false" customHeight="true" outlineLevel="0" collapsed="false">
      <c r="A17" s="1" t="s">
        <v>28</v>
      </c>
      <c r="B17" s="1" t="n">
        <f aca="false">-PMT(interest_rate,observation_period_in_years,1)</f>
        <v>0.0672157075968591</v>
      </c>
      <c r="C17" s="3" t="n">
        <v>1E-006</v>
      </c>
      <c r="D17" s="1" t="s">
        <v>29</v>
      </c>
    </row>
    <row r="18" customFormat="false" ht="15" hidden="false" customHeight="true" outlineLevel="0" collapsed="false">
      <c r="A18" s="1" t="s">
        <v>30</v>
      </c>
      <c r="B18" s="1" t="n">
        <f aca="false">1/(1+interest_rate)^observation_period_in_years</f>
        <v>0.553675754186335</v>
      </c>
      <c r="C18" s="3" t="n">
        <v>1E-006</v>
      </c>
    </row>
    <row r="19" customFormat="false" ht="15" hidden="false" customHeight="true" outlineLevel="0" collapsed="false">
      <c r="A19" s="1" t="s">
        <v>31</v>
      </c>
      <c r="B19" s="1" t="n">
        <f aca="false">cash_flow_year_0_in_euro</f>
        <v>30000</v>
      </c>
      <c r="C19" s="3" t="n">
        <v>0.01</v>
      </c>
    </row>
    <row r="20" customFormat="false" ht="15" hidden="false" customHeight="true" outlineLevel="0" collapsed="false">
      <c r="A20" s="1" t="s">
        <v>32</v>
      </c>
      <c r="B20" s="1" t="n">
        <f aca="false">npv_in_euro*annuity_factor</f>
        <v>2016.47122790577</v>
      </c>
      <c r="C20" s="3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