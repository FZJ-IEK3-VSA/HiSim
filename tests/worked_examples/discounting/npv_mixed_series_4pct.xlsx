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annuity_factor" vbProcedure="false">Example!$B$29</definedName>
    <definedName function="false" hidden="false" name="cash_flow_year_0_in_euro" vbProcedure="false">Example!$B$13</definedName>
    <definedName function="false" hidden="false" name="cash_flow_year_1_in_euro" vbProcedure="false">Example!$B$14</definedName>
    <definedName function="false" hidden="false" name="cash_flow_year_2_in_euro" vbProcedure="false">Example!$B$15</definedName>
    <definedName function="false" hidden="false" name="cash_flow_year_3_in_euro" vbProcedure="false">Example!$B$16</definedName>
    <definedName function="false" hidden="false" name="cash_flow_year_4_in_euro" vbProcedure="false">Example!$B$17</definedName>
    <definedName function="false" hidden="false" name="cash_flow_year_5_in_euro" vbProcedure="false">Example!$B$18</definedName>
    <definedName function="false" hidden="false" name="discounted_cash_flow_year_0_in_euro" vbProcedure="false">Example!$B$24</definedName>
    <definedName function="false" hidden="false" name="discounted_cash_flow_year_1_in_euro" vbProcedure="false">Example!$B$25</definedName>
    <definedName function="false" hidden="false" name="discounted_cash_flow_year_3_in_euro" vbProcedure="false">Example!$B$26</definedName>
    <definedName function="false" hidden="false" name="discounted_cash_flow_year_5_in_euro" vbProcedure="false">Example!$B$27</definedName>
    <definedName function="false" hidden="false" name="discount_factor_year_1" vbProcedure="false">Example!$B$21</definedName>
    <definedName function="false" hidden="false" name="discount_factor_year_3" vbProcedure="false">Example!$B$22</definedName>
    <definedName function="false" hidden="false" name="discount_factor_year_5" vbProcedure="false">Example!$B$23</definedName>
    <definedName function="false" hidden="false" name="eac_in_euro" vbProcedure="false">Example!$B$30</definedName>
    <definedName function="false" hidden="false" name="interest_rate" vbProcedure="false">Example!$B$11</definedName>
    <definedName function="false" hidden="false" name="npv_in_euro" vbProcedure="false">Example!$B$28</definedName>
    <definedName function="false" hidden="false" name="observation_period_in_years" vbProcedure="false">Example!$B$12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<sst xmlns="http://schemas.openxmlformats.org/spreadsheetml/2006/main" count="49" uniqueCount="44">
  <si>
    <t xml:space="preserve">METADATA</t>
  </si>
  <si>
    <t xml:space="preserve">value</t>
  </si>
  <si>
    <t xml:space="preserve">name</t>
  </si>
  <si>
    <t xml:space="preserve">npv_mixed_series_4pct</t>
  </si>
  <si>
    <t xml:space="preserve">spec_section</t>
  </si>
  <si>
    <t xml:space="preserve">3.2</t>
  </si>
  <si>
    <t xml:space="preserve">computed_by</t>
  </si>
  <si>
    <t xml:space="preserve">Claude draft + LibreOffice recalculation, 2026-08-12</t>
  </si>
  <si>
    <t xml:space="preserve">description</t>
  </si>
  <si>
    <t xml:space="preserve">A six-year series with a 20,000 EUR investment at year 0, 1,500 EUR of annual cost and a 5,000 EUR revenue in the last year, discounted at 4 %. Every year is discounted individually with 1/(1+i)^t and the discounted flows are added up.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</si>
  <si>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</si>
  <si>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</si>
  <si>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</si>
  <si>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</si>
  <si>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</si>
  <si>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</si>
  <si>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interest_rate</t>
  </si>
  <si>
    <t xml:space="preserve">discount rate</t>
  </si>
  <si>
    <t xml:space="preserve">observation_period_in_years</t>
  </si>
  <si>
    <t xml:space="preserve">horizon</t>
  </si>
  <si>
    <t xml:space="preserve">cash_flow_year_0_in_euro</t>
  </si>
  <si>
    <t xml:space="preserve">investment</t>
  </si>
  <si>
    <t xml:space="preserve">cash_flow_year_1_in_euro</t>
  </si>
  <si>
    <t xml:space="preserve">operating cost</t>
  </si>
  <si>
    <t xml:space="preserve">cash_flow_year_2_in_euro</t>
  </si>
  <si>
    <t xml:space="preserve">cash_flow_year_3_in_euro</t>
  </si>
  <si>
    <t xml:space="preserve">cash_flow_year_4_in_euro</t>
  </si>
  <si>
    <t xml:space="preserve">cash_flow_year_5_in_euro</t>
  </si>
  <si>
    <t xml:space="preserve">operating cost 1500 minus a 5000 revenue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</si>
  <si>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</si>
  <si>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</si>
  <si>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</si>
  <si>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</si>
  <si>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discount_factor_year_1</t>
  </si>
  <si>
    <t xml:space="preserve">discount_factor_year_3</t>
  </si>
  <si>
    <t xml:space="preserve">discount_factor_year_5</t>
  </si>
  <si>
    <t xml:space="preserve">discounted_cash_flow_year_0_in_euro</t>
  </si>
  <si>
    <t xml:space="preserve">year 0 is the reference point and is never discounted</t>
  </si>
  <si>
    <t xml:space="preserve">discounted_cash_flow_year_1_in_euro</t>
  </si>
  <si>
    <t xml:space="preserve">discounted_cash_flow_year_3_in_euro</t>
  </si>
  <si>
    <t xml:space="preserve">discounted_cash_flow_year_5_in_euro</t>
  </si>
  <si>
    <t xml:space="preserve">npv_in_euro</t>
  </si>
  <si>
    <t xml:space="preserve">annuity_factor</t>
  </si>
  <si>
    <t xml:space="preserve">eac_in_euro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</si>
</sst>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2"/>
    </row>
    <row r="2" customFormat="false" ht="15" hidden="false" customHeight="false" outlineLevel="0" collapsed="false">
      <c r="A2" s="0" t="s">
        <v>2</v>
      </c>
      <c r="B2" s="0" t="s">
        <v>3</v>
      </c>
      <c r="C2" s="2"/>
    </row>
    <row r="3" customFormat="false" ht="15" hidden="false" customHeight="false" outlineLevel="0" collapsed="false">
      <c r="A3" s="0" t="s">
        <v>4</v>
      </c>
      <c r="B3" s="0" t="s">
        <v>5</v>
      </c>
      <c r="C3" s="2"/>
    </row>
    <row r="4" customFormat="false" ht="15" hidden="false" customHeight="false" outlineLevel="0" collapsed="false">
      <c r="A4" s="0" t="s">
        <v>6</v>
      </c>
      <c r="B4" s="0" t="s">
        <v>7</v>
      </c>
      <c r="C4" s="2"/>
    </row>
    <row r="5" customFormat="false" ht="15" hidden="false" customHeight="false" outlineLevel="0" collapsed="false">
      <c r="A5" s="0" t="s">
        <v>8</v>
      </c>
      <c r="B5" s="0" t="s">
        <v>9</v>
      </c>
      <c r="C5" s="2"/>
    </row>
    <row r="6" customFormat="false" ht="15" hidden="false" customHeight="false" outlineLevel="0" collapsed="false">
      <c r="A6" s="0" t="s">
        <v>10</v>
      </c>
      <c r="C6" s="2" t="s">
        <v>11</v>
      </c>
    </row>
    <row r="7" customFormat="false" ht="15" hidden="false" customHeight="false" outlineLevel="0" collapsed="false">
      <c r="A7" s="0" t="s">
        <v>12</v>
      </c>
      <c r="C7" s="2"/>
    </row>
    <row r="8" customFormat="false" ht="15" hidden="false" customHeight="false" outlineLevel="0" collapsed="false">
      <c r="A8" s="0" t="s">
        <v>13</v>
      </c>
      <c r="C8" s="2"/>
    </row>
    <row r="9" customFormat="false" ht="15" hidden="false" customHeight="false" outlineLevel="0" collapsed="false">
      <c r="C9" s="2"/>
    </row>
    <row r="10" customFormat="false" ht="15" hidden="false" customHeight="false" outlineLevel="0" collapsed="false">
      <c r="A10" s="1" t="s">
        <v>14</v>
      </c>
      <c r="B10" s="1" t="s">
        <v>1</v>
      </c>
      <c r="C10" s="3" t="s">
        <v>15</v>
      </c>
    </row>
    <row r="11" customFormat="false" ht="15" hidden="false" customHeight="false" outlineLevel="0" collapsed="false">
      <c r="A11" s="0" t="s">
        <v>16</v>
      </c>
      <c r="B11" s="0" t="n">
        <v>0.04</v>
      </c>
      <c r="C11" s="2" t="s">
        <v>17</v>
      </c>
    </row>
    <row r="12" customFormat="false" ht="15" hidden="false" customHeight="false" outlineLevel="0" collapsed="false">
      <c r="A12" s="0" t="s">
        <v>18</v>
      </c>
      <c r="B12" s="0" t="n">
        <v>5</v>
      </c>
      <c r="C12" s="2" t="s">
        <v>19</v>
      </c>
    </row>
    <row r="13" customFormat="false" ht="15" hidden="false" customHeight="false" outlineLevel="0" collapsed="false">
      <c r="A13" s="0" t="s">
        <v>20</v>
      </c>
      <c r="B13" s="0" t="n">
        <v>20000</v>
      </c>
      <c r="C13" s="2" t="s">
        <v>21</v>
      </c>
    </row>
    <row r="14" customFormat="false" ht="15" hidden="false" customHeight="false" outlineLevel="0" collapsed="false">
      <c r="A14" s="0" t="s">
        <v>22</v>
      </c>
      <c r="B14" s="0" t="n">
        <v>1500</v>
      </c>
      <c r="C14" s="2" t="s">
        <v>23</v>
      </c>
    </row>
    <row r="15" customFormat="false" ht="15" hidden="false" customHeight="false" outlineLevel="0" collapsed="false">
      <c r="A15" s="0" t="s">
        <v>24</v>
      </c>
      <c r="B15" s="0" t="n">
        <v>1500</v>
      </c>
      <c r="C15" s="2" t="s">
        <v>23</v>
      </c>
    </row>
    <row r="16" customFormat="false" ht="15" hidden="false" customHeight="false" outlineLevel="0" collapsed="false">
      <c r="A16" s="0" t="s">
        <v>25</v>
      </c>
      <c r="B16" s="0" t="n">
        <v>1500</v>
      </c>
      <c r="C16" s="2" t="s">
        <v>23</v>
      </c>
    </row>
    <row r="17" customFormat="false" ht="15" hidden="false" customHeight="false" outlineLevel="0" collapsed="false">
      <c r="A17" s="0" t="s">
        <v>26</v>
      </c>
      <c r="B17" s="0" t="n">
        <v>1500</v>
      </c>
      <c r="C17" s="2" t="s">
        <v>23</v>
      </c>
    </row>
    <row r="18" customFormat="false" ht="15" hidden="false" customHeight="false" outlineLevel="0" collapsed="false">
      <c r="A18" s="0" t="s">
        <v>27</v>
      </c>
      <c r="B18" s="0" t="n">
        <v>-3500</v>
      </c>
      <c r="C18" s="2" t="s">
        <v>28</v>
      </c>
    </row>
    <row r="19" customFormat="false" ht="15" hidden="false" customHeight="false" outlineLevel="0" collapsed="false">
      <c r="C19" s="2"/>
    </row>
    <row r="20" customFormat="false" ht="15" hidden="false" customHeight="false" outlineLevel="0" collapsed="false">
      <c r="A20" s="1" t="s">
        <v>29</v>
      </c>
      <c r="B20" s="1" t="s">
        <v>1</v>
      </c>
      <c r="C20" s="3" t="s">
        <v>30</v>
      </c>
      <c r="D20" s="1" t="s">
        <v>31</v>
      </c>
      <c r="E20" s="0" t="s">
        <v>32</v>
      </c>
    </row>
    <row r="21" customFormat="false" ht="15" hidden="false" customHeight="false" outlineLevel="0" collapsed="false">
      <c r="A21" s="0" t="s">
        <v>33</v>
      </c>
      <c r="B21" s="0" t="n">
        <f aca="false">1/(1+interest_rate)^1</f>
        <v>0.961538461538462</v>
      </c>
      <c r="C21" s="2" t="n">
        <v>1E-006</v>
      </c>
    </row>
    <row r="22" customFormat="false" ht="15" hidden="false" customHeight="false" outlineLevel="0" collapsed="false">
      <c r="A22" s="0" t="s">
        <v>34</v>
      </c>
      <c r="B22" s="0" t="n">
        <f aca="false">1/(1+interest_rate)^3</f>
        <v>0.888996358670915</v>
      </c>
      <c r="C22" s="2" t="n">
        <v>1E-006</v>
      </c>
    </row>
    <row r="23" customFormat="false" ht="15" hidden="false" customHeight="false" outlineLevel="0" collapsed="false">
      <c r="A23" s="0" t="s">
        <v>35</v>
      </c>
      <c r="B23" s="0" t="n">
        <f aca="false">1/(1+interest_rate)^5</f>
        <v>0.821927106759352</v>
      </c>
      <c r="C23" s="2" t="n">
        <v>1E-006</v>
      </c>
    </row>
    <row r="24" customFormat="false" ht="15" hidden="false" customHeight="false" outlineLevel="0" collapsed="false">
      <c r="A24" s="0" t="s">
        <v>36</v>
      </c>
      <c r="B24" s="0" t="n">
        <f aca="false">cash_flow_year_0_in_euro</f>
        <v>20000</v>
      </c>
      <c r="C24" s="2" t="n">
        <v>0.01</v>
      </c>
      <c r="D24" s="0" t="s">
        <v>37</v>
      </c>
    </row>
    <row r="25" customFormat="false" ht="15" hidden="false" customHeight="false" outlineLevel="0" collapsed="false">
      <c r="A25" s="0" t="s">
        <v>38</v>
      </c>
      <c r="B25" s="0" t="n">
        <f aca="false">cash_flow_year_1_in_euro*discount_factor_year_1</f>
        <v>1442.30769230769</v>
      </c>
      <c r="C25" s="2" t="n">
        <v>0.01</v>
      </c>
    </row>
    <row r="26" customFormat="false" ht="15" hidden="false" customHeight="false" outlineLevel="0" collapsed="false">
      <c r="A26" s="0" t="s">
        <v>39</v>
      </c>
      <c r="B26" s="0" t="n">
        <f aca="false">cash_flow_year_3_in_euro*discount_factor_year_3</f>
        <v>1333.49453800637</v>
      </c>
      <c r="C26" s="2" t="n">
        <v>0.01</v>
      </c>
    </row>
    <row r="27" customFormat="false" ht="15" hidden="false" customHeight="false" outlineLevel="0" collapsed="false">
      <c r="A27" s="0" t="s">
        <v>40</v>
      </c>
      <c r="B27" s="0" t="n">
        <f aca="false">cash_flow_year_5_in_euro*discount_factor_year_5</f>
        <v>-2876.74487365773</v>
      </c>
      <c r="C27" s="2" t="n">
        <v>0.01</v>
      </c>
    </row>
    <row r="28" customFormat="false" ht="15" hidden="false" customHeight="false" outlineLevel="0" collapsed="false">
      <c r="A28" s="0" t="s">
        <v>41</v>
      </c>
      <c r="B28" s="0" t="n">
        <f aca="false">cash_flow_year_0_in_euro+cash_flow_year_1_in_euro/(1+interest_rate)^1+cash_flow_year_2_in_euro/(1+interest_rate)^2+cash_flow_year_3_in_euro/(1+interest_rate)^3+cash_flow_year_4_in_euro/(1+interest_rate)^4+cash_flow_year_5_in_euro/(1+interest_rate)^5</f>
        <v>22568.0979627276</v>
      </c>
      <c r="C28" s="2" t="n">
        <v>0.01</v>
      </c>
    </row>
    <row r="29" customFormat="false" ht="15" hidden="false" customHeight="false" outlineLevel="0" collapsed="false">
      <c r="A29" s="0" t="s">
        <v>42</v>
      </c>
      <c r="B29" s="0" t="n">
        <f aca="false">interest_rate*(1+interest_rate)^observation_period_in_years/((1+interest_rate)^observation_period_in_years-1)</f>
        <v>0.224627113493034</v>
      </c>
      <c r="C29" s="2" t="n">
        <v>1E-006</v>
      </c>
    </row>
    <row r="30" customFormat="false" ht="15" hidden="false" customHeight="false" outlineLevel="0" collapsed="false">
      <c r="A30" s="0" t="s">
        <v>43</v>
      </c>
      <c r="B30" s="0" t="n">
        <f aca="false">npv_in_euro*annuity_factor</f>
        <v>5069.40670239551</v>
      </c>
      <c r="C30" s="2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2026-08-12T10:21:23Z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