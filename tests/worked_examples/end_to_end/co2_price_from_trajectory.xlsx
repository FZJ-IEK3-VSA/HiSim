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al_cost_year_1_in_euro" vbProcedure="false">Example!$B$50</definedName>
    <definedName function="false" hidden="false" name="annual_cost_year_7_in_euro" vbProcedure="false">Example!$B$51</definedName>
    <definedName function="false" hidden="false" name="annuity_factor" vbProcedure="false">Example!$B$48</definedName>
    <definedName function="false" hidden="false" name="co2_price_2024_in_euro_per_ton" vbProcedure="false">Example!$B$26</definedName>
    <definedName function="false" hidden="false" name="co2_price_2027_in_euro_per_ton" vbProcedure="false">Example!$B$27</definedName>
    <definedName function="false" hidden="false" name="co2_price_2030_in_euro_per_ton" vbProcedure="false">Example!$B$28</definedName>
    <definedName function="false" hidden="false" name="co2_price_exposure" vbProcedure="false">Example!$B$25</definedName>
    <definedName function="false" hidden="false" name="co2_price_scenario" vbProcedure="false">Example!$B$20</definedName>
    <definedName function="false" hidden="false" name="eac_in_euro" vbProcedure="false">Example!$B$49</definedName>
    <definedName function="false" hidden="false" name="electricity_price_in_euro_per_kwh" vbProcedure="false">Example!$B$22</definedName>
    <definedName function="false" hidden="false" name="emission_factor_in_kg_per_kwh" vbProcedure="false">Example!$B$24</definedName>
    <definedName function="false" hidden="false" name="energy_bought_in_kwh" vbProcedure="false">Example!$B$21</definedName>
    <definedName function="false" hidden="false" name="energy_price_escalation_rate" vbProcedure="false">Example!$B$18</definedName>
    <definedName function="false" hidden="false" name="general_price_escalation_rate" vbProcedure="false">Example!$B$16</definedName>
    <definedName function="false" hidden="false" name="horizon_in_years" vbProcedure="false">Example!$B$14</definedName>
    <definedName function="false" hidden="false" name="interest_rate" vbProcedure="false">Example!$B$15</definedName>
    <definedName function="false" hidden="false" name="investment_in_euro" vbProcedure="false">Example!$B$11</definedName>
    <definedName function="false" hidden="false" name="investment_price_escalation_rate" vbProcedure="false">Example!$B$17</definedName>
    <definedName function="false" hidden="false" name="kilograms_per_ton" vbProcedure="false">Example!$B$29</definedName>
    <definedName function="false" hidden="false" name="lifetime_in_years" vbProcedure="false">Example!$B$12</definedName>
    <definedName function="false" hidden="false" name="maintenance_rate" vbProcedure="false">Example!$B$13</definedName>
    <definedName function="false" hidden="false" name="monthly_cost_year_1_in_euro" vbProcedure="false">Example!$B$52</definedName>
    <definedName function="false" hidden="false" name="months_per_year" vbProcedure="false">Example!$B$30</definedName>
    <definedName function="false" hidden="false" name="nominal_energy_co2_price_year_1_in_euro" vbProcedure="false">Example!$B$33</definedName>
    <definedName function="false" hidden="false" name="nominal_energy_co2_price_year_2_in_euro" vbProcedure="false">Example!$B$34</definedName>
    <definedName function="false" hidden="false" name="nominal_energy_co2_price_year_3_in_euro" vbProcedure="false">Example!$B$35</definedName>
    <definedName function="false" hidden="false" name="nominal_energy_co2_price_year_4_in_euro" vbProcedure="false">Example!$B$36</definedName>
    <definedName function="false" hidden="false" name="nominal_energy_co2_price_year_5_in_euro" vbProcedure="false">Example!$B$37</definedName>
    <definedName function="false" hidden="false" name="nominal_energy_co2_price_year_6_in_euro" vbProcedure="false">Example!$B$38</definedName>
    <definedName function="false" hidden="false" name="nominal_energy_co2_price_year_7_in_euro" vbProcedure="false">Example!$B$39</definedName>
    <definedName function="false" hidden="false" name="nominal_energy_co2_price_year_8_in_euro" vbProcedure="false">Example!$B$40</definedName>
    <definedName function="false" hidden="false" name="nominal_energy_working_year_1_in_euro" vbProcedure="false">Example!$B$43</definedName>
    <definedName function="false" hidden="false" name="nominal_energy_working_year_8_in_euro" vbProcedure="false">Example!$B$44</definedName>
    <definedName function="false" hidden="false" name="npv_energy_co2_price_in_euro" vbProcedure="false">Example!$B$41</definedName>
    <definedName function="false" hidden="false" name="npv_energy_working_in_euro" vbProcedure="false">Example!$B$45</definedName>
    <definedName function="false" hidden="false" name="npv_investment_in_euro" vbProcedure="false">Example!$B$46</definedName>
    <definedName function="false" hidden="false" name="present_value_factor_sum" vbProcedure="false">Example!$B$42</definedName>
    <definedName function="false" hidden="false" name="price_basis_year" vbProcedure="false">Example!$B$19</definedName>
    <definedName function="false" hidden="false" name="standing_charge_in_euro_per_year" vbProcedure="false">Example!$B$23</definedName>
    <definedName function="false" hidden="false" name="total_npv_in_euro" vbProcedure="false">Example!$B$47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<sst xmlns="http://schemas.openxmlformats.org/spreadsheetml/2006/main" count="95" uniqueCount="90">
  <si>
    <t xml:space="preserve">METADATA</t>
  </si>
  <si>
    <t xml:space="preserve">value</t>
  </si>
  <si>
    <t xml:space="preserve">name</t>
  </si>
  <si>
    <t xml:space="preserve">co2_price_from_trajectory</t>
  </si>
  <si>
    <t xml:space="preserve">spec_section</t>
  </si>
  <si>
    <t xml:space="preserve">3.5</t>
  </si>
  <si>
    <t xml:space="preserve">computed_by</t>
  </si>
  <si>
    <t xml:space="preserve">Claude draft + LibreOffice recalculation, 2026-09-08</t>
  </si>
  <si>
    <t xml:space="preserve">description</t>
  </si>
  <si>
    <t xml:space="preserve">A 10,000 EUR device over an 8-year horizon at 3 % interest, buying 5,000 kWh of electricity a year at 0.25 EUR/kWh. What the example pins is the CO2 *price* component of the bill - a real cash flow, and the one energy figure apply_tariff does not produce: the tariff engine never sees a carbon price, and the energy calculator adds the component per projection year as emission factor x kWh x exposure share x the CO2 price of that calendar year, divided by 1,000 kg per ton. The trajectory steps from 50 EUR/t (2024) to 80 (2027) to 110 (2030), is read with step interpolation - the last point at or before the year applies, and the last point persists past its end - and is never escalated. This is figure (3) of calculators/co2.py's four CO2 figures; the CO2 damage cost (4) is a macroeconomic shadow price that never coexists with it (§3.8). The emission factor, the exposure share and the trajectory come from the synthetic XX database (SyntheticCarbonData in tests/worked_example_runners.py) and are copied here as inputs, so a change there fails this example instead of re-baselining it.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</si>
  <si>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</si>
  <si>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</si>
  <si>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</si>
  <si>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</si>
  <si>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</si>
  <si>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</si>
  <si>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investment_in_euro</t>
  </si>
  <si>
    <t xml:space="preserve">device cost override</t>
  </si>
  <si>
    <t xml:space="preserve">lifetime_in_years</t>
  </si>
  <si>
    <t xml:space="preserve">service life override; equal to the horizon</t>
  </si>
  <si>
    <t xml:space="preserve">maintenance_rate</t>
  </si>
  <si>
    <t xml:space="preserve">no maintenance, so only the bill and the carbon price remain</t>
  </si>
  <si>
    <t xml:space="preserve">horizon_in_years</t>
  </si>
  <si>
    <t xml:space="preserve">observation period</t>
  </si>
  <si>
    <t xml:space="preserve">interest_rate</t>
  </si>
  <si>
    <t xml:space="preserve">nominal discount rate</t>
  </si>
  <si>
    <t xml:space="preserve">general_price_escalation_rate</t>
  </si>
  <si>
    <t xml:space="preserve">no escalation</t>
  </si>
  <si>
    <t xml:space="preserve">investment_price_escalation_rate</t>
  </si>
  <si>
    <t xml:space="preserve">energy_price_escalation_rate</t>
  </si>
  <si>
    <t xml:space="preserve">no escalation: the working cost stays flat while the CO2 price steps</t>
  </si>
  <si>
    <t xml:space="preserve">price_basis_year</t>
  </si>
  <si>
    <t xml:space="preserve">the economic 'today'; the CO2 trajectory is anchored on it, so projection year t is calendar year price_basis_year+t-1</t>
  </si>
  <si>
    <t xml:space="preserve">co2_price_scenario</t>
  </si>
  <si>
    <t xml:space="preserve">worked_example</t>
  </si>
  <si>
    <t xml:space="preserve">EconomicParameters.co2_price_scenario; names the trajectory in the fixture's co2_price_paths.json ('none' - the library default - switches carbon pricing off)</t>
  </si>
  <si>
    <t xml:space="preserve">energy_bought_in_kwh</t>
  </si>
  <si>
    <t xml:space="preserve">annual electricity purchase</t>
  </si>
  <si>
    <t xml:space="preserve">electricity_price_in_euro_per_kwh</t>
  </si>
  <si>
    <t xml:space="preserve">flat contract working price</t>
  </si>
  <si>
    <t xml:space="preserve">standing_charge_in_euro_per_year</t>
  </si>
  <si>
    <t xml:space="preserve">no standing charge in this example</t>
  </si>
  <si>
    <t xml:space="preserve">emission_factor_in_kg_per_kwh</t>
  </si>
  <si>
    <t xml:space="preserve">price-entry field, copied from SyntheticCarbonData in tests/worked_example_runners.py; a change there must fail this example rather than re-baseline it</t>
  </si>
  <si>
    <t xml:space="preserve">co2_price_exposure</t>
  </si>
  <si>
    <t xml:space="preserve">price-entry field: share of the emissions the CO2 price applies to. 1.0 = the working price contains no carbon cost yet (§3.5)</t>
  </si>
  <si>
    <t xml:space="preserve">co2_price_2024_in_euro_per_ton</t>
  </si>
  <si>
    <t xml:space="preserve">trajectory point, copied from SyntheticCarbonData</t>
  </si>
  <si>
    <t xml:space="preserve">co2_price_2027_in_euro_per_ton</t>
  </si>
  <si>
    <t xml:space="preserve">co2_price_2030_in_euro_per_ton</t>
  </si>
  <si>
    <t xml:space="preserve">kilograms_per_ton</t>
  </si>
  <si>
    <t xml:space="preserve">emissions are tracked in kg, carbon prices are quoted per ton</t>
  </si>
  <si>
    <t xml:space="preserve">months_per_year</t>
  </si>
  <si>
    <t xml:space="preserve">the monthly figure is the annual one divided by twelve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</si>
  <si>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</si>
  <si>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</si>
  <si>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</si>
  <si>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</si>
  <si>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nominal_energy_co2_price_year_1_in_euro</t>
  </si>
  <si>
    <t xml:space="preserve">year 1 = calendar 2024: 5,000 kWh x 0.4 kg/kWh = 2,000 kg = 2 t, at the 50 EUR/t point</t>
  </si>
  <si>
    <t xml:space="preserve">nominal_energy_co2_price_year_2_in_euro</t>
  </si>
  <si>
    <t xml:space="preserve">nominal_energy_co2_price_year_3_in_euro</t>
  </si>
  <si>
    <t xml:space="preserve">year 3 = calendar 2026: still the 2024 point. Step interpolation applies the last point at or before the year, it does not interpolate towards the next one</t>
  </si>
  <si>
    <t xml:space="preserve">nominal_energy_co2_price_year_4_in_euro</t>
  </si>
  <si>
    <t xml:space="preserve">year 4 = calendar 2027: the trajectory steps to 80 EUR/t on 1 January</t>
  </si>
  <si>
    <t xml:space="preserve">nominal_energy_co2_price_year_5_in_euro</t>
  </si>
  <si>
    <t xml:space="preserve">nominal_energy_co2_price_year_6_in_euro</t>
  </si>
  <si>
    <t xml:space="preserve">nominal_energy_co2_price_year_7_in_euro</t>
  </si>
  <si>
    <t xml:space="preserve">year 7 = calendar 2030: the last point, 110 EUR/t</t>
  </si>
  <si>
    <t xml:space="preserve">nominal_energy_co2_price_year_8_in_euro</t>
  </si>
  <si>
    <t xml:space="preserve">year 8 = calendar 2031, past the last point, which therefore persists. The CO2 price component is never escalated: the trajectory already carries the whole path</t>
  </si>
  <si>
    <t xml:space="preserve">npv_energy_co2_price_in_euro</t>
  </si>
  <si>
    <t xml:space="preserve">each year discounted on its own, because the series is a step function and no annuity factor describes it</t>
  </si>
  <si>
    <t xml:space="preserve">present_value_factor_sum</t>
  </si>
  <si>
    <t xml:space="preserve">sum of the discount factors of years 1..8; applies to the flat working cost, not to the stepped CO2 component</t>
  </si>
  <si>
    <t xml:space="preserve">nominal_energy_working_year_1_in_euro</t>
  </si>
  <si>
    <t xml:space="preserve">the working cost apply_tariff bills. The CO2 component is deliberately not part of it: the tariff engine never sees the trajectory, the energy calculator adds the component per projection year (§3.5, §3.6 rule 5)</t>
  </si>
  <si>
    <t xml:space="preserve">nominal_energy_working_year_8_in_euro</t>
  </si>
  <si>
    <t xml:space="preserve">flat, because the energy escalation is zero here - so every difference between year 1 and year 8 below is carbon price, not energy price</t>
  </si>
  <si>
    <t xml:space="preserve">npv_energy_working_in_euro</t>
  </si>
  <si>
    <t xml:space="preserve">npv_investment_in_euro</t>
  </si>
  <si>
    <t xml:space="preserve">paid at year 0, undiscounted</t>
  </si>
  <si>
    <t xml:space="preserve">total_npv_in_euro</t>
  </si>
  <si>
    <t xml:space="preserve">annuity_factor</t>
  </si>
  <si>
    <t xml:space="preserve">eac_in_euro</t>
  </si>
  <si>
    <t xml:space="preserve">annual_cost_year_1_in_euro</t>
  </si>
  <si>
    <t xml:space="preserve">nominal, not discounted: the liquidity view of year 1</t>
  </si>
  <si>
    <t xml:space="preserve">annual_cost_year_7_in_euro</t>
  </si>
  <si>
    <t xml:space="preserve">the same view once the trajectory has stepped twice: the whole increase is carbon price</t>
  </si>
  <si>
    <t xml:space="preserve">monthly_cost_year_1_in_euro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</si>
</sst>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C6" s="0" t="s">
        <v>11</v>
      </c>
    </row>
    <row r="7" customFormat="false" ht="15" hidden="false" customHeight="false" outlineLevel="0" collapsed="false">
      <c r="A7" s="0" t="s">
        <v>12</v>
      </c>
    </row>
    <row r="8" customFormat="false" ht="15" hidden="false" customHeight="false" outlineLevel="0" collapsed="false">
      <c r="A8" s="0" t="s">
        <v>13</v>
      </c>
    </row>
    <row r="10" customFormat="false" ht="15" hidden="false" customHeight="false" outlineLevel="0" collapsed="false">
      <c r="A10" s="0" t="s">
        <v>14</v>
      </c>
      <c r="B10" s="0" t="s">
        <v>1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0" t="n">
        <v>10000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0" t="n">
        <v>8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0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0" t="n">
        <v>8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0" t="n">
        <v>0.03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0" t="n">
        <v>0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0" t="n">
        <v>0</v>
      </c>
      <c r="C17" s="0" t="s">
        <v>27</v>
      </c>
    </row>
    <row r="18" customFormat="false" ht="15" hidden="false" customHeight="false" outlineLevel="0" collapsed="false">
      <c r="A18" s="0" t="s">
        <v>29</v>
      </c>
      <c r="B18" s="0" t="n">
        <v>0</v>
      </c>
      <c r="C18" s="0" t="s">
        <v>30</v>
      </c>
    </row>
    <row r="19" customFormat="false" ht="15" hidden="false" customHeight="false" outlineLevel="0" collapsed="false">
      <c r="A19" s="0" t="s">
        <v>31</v>
      </c>
      <c r="B19" s="0" t="n">
        <v>2024</v>
      </c>
      <c r="C19" s="0" t="s">
        <v>32</v>
      </c>
    </row>
    <row r="20" customFormat="false" ht="15" hidden="false" customHeight="false" outlineLevel="0" collapsed="false">
      <c r="A20" s="0" t="s">
        <v>33</v>
      </c>
      <c r="B20" s="0" t="s">
        <v>34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0" t="n">
        <v>5000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0" t="n">
        <v>0.25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0" t="n">
        <v>0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0" t="n">
        <v>0.4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0" t="n">
        <v>1</v>
      </c>
      <c r="C25" s="0" t="s">
        <v>45</v>
      </c>
    </row>
    <row r="26" customFormat="false" ht="15" hidden="false" customHeight="false" outlineLevel="0" collapsed="false">
      <c r="A26" s="0" t="s">
        <v>46</v>
      </c>
      <c r="B26" s="0" t="n">
        <v>50</v>
      </c>
      <c r="C26" s="0" t="s">
        <v>47</v>
      </c>
    </row>
    <row r="27" customFormat="false" ht="15" hidden="false" customHeight="false" outlineLevel="0" collapsed="false">
      <c r="A27" s="0" t="s">
        <v>48</v>
      </c>
      <c r="B27" s="0" t="n">
        <v>80</v>
      </c>
      <c r="C27" s="0" t="s">
        <v>47</v>
      </c>
    </row>
    <row r="28" customFormat="false" ht="15" hidden="false" customHeight="false" outlineLevel="0" collapsed="false">
      <c r="A28" s="0" t="s">
        <v>49</v>
      </c>
      <c r="B28" s="0" t="n">
        <v>110</v>
      </c>
      <c r="C28" s="0" t="s">
        <v>47</v>
      </c>
    </row>
    <row r="29" customFormat="false" ht="15" hidden="false" customHeight="false" outlineLevel="0" collapsed="false">
      <c r="A29" s="0" t="s">
        <v>50</v>
      </c>
      <c r="B29" s="0" t="n">
        <v>1000</v>
      </c>
      <c r="C29" s="0" t="s">
        <v>51</v>
      </c>
    </row>
    <row r="30" customFormat="false" ht="15" hidden="false" customHeight="false" outlineLevel="0" collapsed="false">
      <c r="A30" s="0" t="s">
        <v>52</v>
      </c>
      <c r="B30" s="0" t="n">
        <v>12</v>
      </c>
      <c r="C30" s="0" t="s">
        <v>53</v>
      </c>
    </row>
    <row r="32" customFormat="false" ht="15" hidden="false" customHeight="false" outlineLevel="0" collapsed="false">
      <c r="A32" s="0" t="s">
        <v>54</v>
      </c>
      <c r="B32" s="0" t="s">
        <v>1</v>
      </c>
      <c r="C32" s="0" t="s">
        <v>55</v>
      </c>
      <c r="D32" s="0" t="s">
        <v>56</v>
      </c>
      <c r="E32" s="0" t="s">
        <v>57</v>
      </c>
    </row>
    <row r="33" customFormat="false" ht="15" hidden="false" customHeight="false" outlineLevel="0" collapsed="false">
      <c r="A33" s="0" t="s">
        <v>58</v>
      </c>
      <c r="B33" s="0" t="n">
        <f aca="false">energy_bought_in_kwh*emission_factor_in_kg_per_kwh*co2_price_exposure*co2_price_2024_in_euro_per_ton/kilograms_per_ton</f>
        <v>100</v>
      </c>
      <c r="C33" s="0" t="n">
        <v>0.01</v>
      </c>
      <c r="D33" s="0" t="s">
        <v>59</v>
      </c>
    </row>
    <row r="34" customFormat="false" ht="15" hidden="false" customHeight="false" outlineLevel="0" collapsed="false">
      <c r="A34" s="0" t="s">
        <v>60</v>
      </c>
      <c r="B34" s="0" t="n">
        <f aca="false">energy_bought_in_kwh*emission_factor_in_kg_per_kwh*co2_price_exposure*co2_price_2024_in_euro_per_ton/kilograms_per_ton</f>
        <v>100</v>
      </c>
      <c r="C34" s="0" t="n">
        <v>0.01</v>
      </c>
    </row>
    <row r="35" customFormat="false" ht="15" hidden="false" customHeight="false" outlineLevel="0" collapsed="false">
      <c r="A35" s="0" t="s">
        <v>61</v>
      </c>
      <c r="B35" s="0" t="n">
        <f aca="false">energy_bought_in_kwh*emission_factor_in_kg_per_kwh*co2_price_exposure*co2_price_2024_in_euro_per_ton/kilograms_per_ton</f>
        <v>100</v>
      </c>
      <c r="C35" s="0" t="n">
        <v>0.01</v>
      </c>
      <c r="D35" s="0" t="s">
        <v>62</v>
      </c>
    </row>
    <row r="36" customFormat="false" ht="15" hidden="false" customHeight="false" outlineLevel="0" collapsed="false">
      <c r="A36" s="0" t="s">
        <v>63</v>
      </c>
      <c r="B36" s="0" t="n">
        <f aca="false">energy_bought_in_kwh*emission_factor_in_kg_per_kwh*co2_price_exposure*co2_price_2027_in_euro_per_ton/kilograms_per_ton</f>
        <v>160</v>
      </c>
      <c r="C36" s="0" t="n">
        <v>0.01</v>
      </c>
      <c r="D36" s="0" t="s">
        <v>64</v>
      </c>
    </row>
    <row r="37" customFormat="false" ht="15" hidden="false" customHeight="false" outlineLevel="0" collapsed="false">
      <c r="A37" s="0" t="s">
        <v>65</v>
      </c>
      <c r="B37" s="0" t="n">
        <f aca="false">energy_bought_in_kwh*emission_factor_in_kg_per_kwh*co2_price_exposure*co2_price_2027_in_euro_per_ton/kilograms_per_ton</f>
        <v>160</v>
      </c>
      <c r="C37" s="0" t="n">
        <v>0.01</v>
      </c>
    </row>
    <row r="38" customFormat="false" ht="15" hidden="false" customHeight="false" outlineLevel="0" collapsed="false">
      <c r="A38" s="0" t="s">
        <v>66</v>
      </c>
      <c r="B38" s="0" t="n">
        <f aca="false">energy_bought_in_kwh*emission_factor_in_kg_per_kwh*co2_price_exposure*co2_price_2027_in_euro_per_ton/kilograms_per_ton</f>
        <v>160</v>
      </c>
      <c r="C38" s="0" t="n">
        <v>0.01</v>
      </c>
    </row>
    <row r="39" customFormat="false" ht="15" hidden="false" customHeight="false" outlineLevel="0" collapsed="false">
      <c r="A39" s="0" t="s">
        <v>67</v>
      </c>
      <c r="B39" s="0" t="n">
        <f aca="false">energy_bought_in_kwh*emission_factor_in_kg_per_kwh*co2_price_exposure*co2_price_2030_in_euro_per_ton/kilograms_per_ton</f>
        <v>220</v>
      </c>
      <c r="C39" s="0" t="n">
        <v>0.01</v>
      </c>
      <c r="D39" s="0" t="s">
        <v>68</v>
      </c>
    </row>
    <row r="40" customFormat="false" ht="15" hidden="false" customHeight="false" outlineLevel="0" collapsed="false">
      <c r="A40" s="0" t="s">
        <v>69</v>
      </c>
      <c r="B40" s="0" t="n">
        <f aca="false">energy_bought_in_kwh*emission_factor_in_kg_per_kwh*co2_price_exposure*co2_price_2030_in_euro_per_ton/kilograms_per_ton</f>
        <v>220</v>
      </c>
      <c r="C40" s="0" t="n">
        <v>0.01</v>
      </c>
      <c r="D40" s="0" t="s">
        <v>70</v>
      </c>
    </row>
    <row r="41" customFormat="false" ht="15" hidden="false" customHeight="false" outlineLevel="0" collapsed="false">
      <c r="A41" s="0" t="s">
        <v>71</v>
      </c>
      <c r="B41" s="0" t="n">
        <f aca="false">nominal_energy_co2_price_year_1_in_euro/(1+interest_rate)^1+nominal_energy_co2_price_year_2_in_euro/(1+interest_rate)^2+nominal_energy_co2_price_year_3_in_euro/(1+interest_rate)^3+nominal_energy_co2_price_year_4_in_euro/(1+interest_rate)^4+nominal_energy_co2_price_year_5_in_euro/(1+interest_rate)^5+nominal_energy_co2_price_year_6_in_euro/(1+interest_rate)^6+nominal_energy_co2_price_year_7_in_euro/(1+interest_rate)^7+nominal_energy_co2_price_year_8_in_euro/(1+interest_rate)^8</f>
        <v>1049.58411377143</v>
      </c>
      <c r="C41" s="0" t="n">
        <v>0.01</v>
      </c>
      <c r="D41" s="0" t="s">
        <v>72</v>
      </c>
    </row>
    <row r="42" customFormat="false" ht="15" hidden="false" customHeight="false" outlineLevel="0" collapsed="false">
      <c r="A42" s="0" t="s">
        <v>73</v>
      </c>
      <c r="B42" s="0" t="n">
        <f aca="false">(1-(1+interest_rate)^-horizon_in_years)/interest_rate</f>
        <v>7.01969218953548</v>
      </c>
      <c r="C42" s="0" t="n">
        <v>1E-006</v>
      </c>
      <c r="D42" s="0" t="s">
        <v>74</v>
      </c>
    </row>
    <row r="43" customFormat="false" ht="15" hidden="false" customHeight="false" outlineLevel="0" collapsed="false">
      <c r="A43" s="0" t="s">
        <v>75</v>
      </c>
      <c r="B43" s="0" t="n">
        <f aca="false">energy_bought_in_kwh*electricity_price_in_euro_per_kwh</f>
        <v>1250</v>
      </c>
      <c r="C43" s="0" t="n">
        <v>0.01</v>
      </c>
      <c r="D43" s="0" t="s">
        <v>76</v>
      </c>
    </row>
    <row r="44" customFormat="false" ht="15" hidden="false" customHeight="false" outlineLevel="0" collapsed="false">
      <c r="A44" s="0" t="s">
        <v>77</v>
      </c>
      <c r="B44" s="0" t="n">
        <f aca="false">nominal_energy_working_year_1_in_euro*(1+energy_price_escalation_rate)^(horizon_in_years-1)</f>
        <v>1250</v>
      </c>
      <c r="C44" s="0" t="n">
        <v>0.01</v>
      </c>
      <c r="D44" s="0" t="s">
        <v>78</v>
      </c>
    </row>
    <row r="45" customFormat="false" ht="15" hidden="false" customHeight="false" outlineLevel="0" collapsed="false">
      <c r="A45" s="0" t="s">
        <v>79</v>
      </c>
      <c r="B45" s="0" t="n">
        <f aca="false">nominal_energy_working_year_1_in_euro*present_value_factor_sum</f>
        <v>8774.61523691936</v>
      </c>
      <c r="C45" s="0" t="n">
        <v>0.01</v>
      </c>
    </row>
    <row r="46" customFormat="false" ht="15" hidden="false" customHeight="false" outlineLevel="0" collapsed="false">
      <c r="A46" s="0" t="s">
        <v>80</v>
      </c>
      <c r="B46" s="0" t="n">
        <f aca="false">investment_in_euro</f>
        <v>10000</v>
      </c>
      <c r="C46" s="0" t="n">
        <v>0.01</v>
      </c>
      <c r="D46" s="0" t="s">
        <v>81</v>
      </c>
    </row>
    <row r="47" customFormat="false" ht="15" hidden="false" customHeight="false" outlineLevel="0" collapsed="false">
      <c r="A47" s="0" t="s">
        <v>82</v>
      </c>
      <c r="B47" s="0" t="n">
        <f aca="false">npv_investment_in_euro+npv_energy_working_in_euro+npv_energy_co2_price_in_euro</f>
        <v>19824.1993506908</v>
      </c>
      <c r="C47" s="0" t="n">
        <v>0.01</v>
      </c>
    </row>
    <row r="48" customFormat="false" ht="15" hidden="false" customHeight="false" outlineLevel="0" collapsed="false">
      <c r="A48" s="0" t="s">
        <v>83</v>
      </c>
      <c r="B48" s="0" t="n">
        <f aca="false">interest_rate*(1+interest_rate)^horizon_in_years/((1+interest_rate)^horizon_in_years-1)</f>
        <v>0.142456388827239</v>
      </c>
      <c r="C48" s="0" t="n">
        <v>1E-006</v>
      </c>
    </row>
    <row r="49" customFormat="false" ht="15" hidden="false" customHeight="false" outlineLevel="0" collapsed="false">
      <c r="A49" s="0" t="s">
        <v>84</v>
      </c>
      <c r="B49" s="0" t="n">
        <f aca="false">total_npv_in_euro*annuity_factor</f>
        <v>2824.08385089071</v>
      </c>
      <c r="C49" s="0" t="n">
        <v>0.01</v>
      </c>
    </row>
    <row r="50" customFormat="false" ht="15" hidden="false" customHeight="false" outlineLevel="0" collapsed="false">
      <c r="A50" s="0" t="s">
        <v>85</v>
      </c>
      <c r="B50" s="0" t="n">
        <f aca="false">nominal_energy_working_year_1_in_euro+nominal_energy_co2_price_year_1_in_euro</f>
        <v>1350</v>
      </c>
      <c r="C50" s="0" t="n">
        <v>0.01</v>
      </c>
      <c r="D50" s="0" t="s">
        <v>86</v>
      </c>
    </row>
    <row r="51" customFormat="false" ht="15" hidden="false" customHeight="false" outlineLevel="0" collapsed="false">
      <c r="A51" s="0" t="s">
        <v>87</v>
      </c>
      <c r="B51" s="0" t="n">
        <f aca="false">nominal_energy_working_year_1_in_euro+nominal_energy_co2_price_year_7_in_euro</f>
        <v>1470</v>
      </c>
      <c r="C51" s="0" t="n">
        <v>0.01</v>
      </c>
      <c r="D51" s="0" t="s">
        <v>88</v>
      </c>
    </row>
    <row r="52" customFormat="false" ht="15" hidden="false" customHeight="false" outlineLevel="0" collapsed="false">
      <c r="A52" s="0" t="s">
        <v>89</v>
      </c>
      <c r="B52" s="0" t="n">
        <f aca="false">annual_cost_year_1_in_euro/months_per_year</f>
        <v>112.5</v>
      </c>
      <c r="C52" s="0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2026-09-08T10:10:08Z</dcterms:created>
  <dc:creator>openpyxl</dc:creator>
  <dc:description/>
  <dc:language>en-US</dc:language>
  <cp:lastModifiedBy/>
  <dcterms:modified xsi:type="dcterms:W3CDTF">2026-09-08T10:10:08Z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