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annual_cost_year_10_in_euro" vbProcedure="false">Example!$B$42</definedName>
    <definedName function="false" hidden="false" name="annual_cost_year_1_in_euro" vbProcedure="false">Example!$B$41</definedName>
    <definedName function="false" hidden="false" name="annuity_factor" vbProcedure="false">Example!$B$39</definedName>
    <definedName function="false" hidden="false" name="eac_in_euro" vbProcedure="false">Example!$B$40</definedName>
    <definedName function="false" hidden="false" name="electricity_price_in_euro_per_kwh" vbProcedure="false">Example!$B$20</definedName>
    <definedName function="false" hidden="false" name="energy_bought_in_kwh" vbProcedure="false">Example!$B$19</definedName>
    <definedName function="false" hidden="false" name="energy_price_escalation_rate" vbProcedure="false">Example!$B$18</definedName>
    <definedName function="false" hidden="false" name="general_price_escalation_rate" vbProcedure="false">Example!$B$16</definedName>
    <definedName function="false" hidden="false" name="horizon_in_years" vbProcedure="false">Example!$B$14</definedName>
    <definedName function="false" hidden="false" name="interest_rate" vbProcedure="false">Example!$B$15</definedName>
    <definedName function="false" hidden="false" name="investment_in_euro" vbProcedure="false">Example!$B$11</definedName>
    <definedName function="false" hidden="false" name="investment_price_escalation_rate" vbProcedure="false">Example!$B$17</definedName>
    <definedName function="false" hidden="false" name="lifetime_in_years" vbProcedure="false">Example!$B$12</definedName>
    <definedName function="false" hidden="false" name="maintenance_rate" vbProcedure="false">Example!$B$13</definedName>
    <definedName function="false" hidden="false" name="monthly_cost_year_1_in_euro" vbProcedure="false">Example!$B$43</definedName>
    <definedName function="false" hidden="false" name="months_per_year" vbProcedure="false">Example!$B$22</definedName>
    <definedName function="false" hidden="false" name="nominal_energy_standing_year_10_in_euro" vbProcedure="false">Example!$B$31</definedName>
    <definedName function="false" hidden="false" name="nominal_energy_standing_year_1_in_euro" vbProcedure="false">Example!$B$30</definedName>
    <definedName function="false" hidden="false" name="nominal_energy_working_year_10_in_euro" vbProcedure="false">Example!$B$29</definedName>
    <definedName function="false" hidden="false" name="nominal_energy_working_year_1_in_euro" vbProcedure="false">Example!$B$28</definedName>
    <definedName function="false" hidden="false" name="nominal_maintenance_year_10_in_euro" vbProcedure="false">Example!$B$27</definedName>
    <definedName function="false" hidden="false" name="nominal_maintenance_year_1_in_euro" vbProcedure="false">Example!$B$26</definedName>
    <definedName function="false" hidden="false" name="npv_energy_standing_in_euro" vbProcedure="false">Example!$B$34</definedName>
    <definedName function="false" hidden="false" name="npv_energy_working_in_euro" vbProcedure="false">Example!$B$35</definedName>
    <definedName function="false" hidden="false" name="npv_investment_in_euro" vbProcedure="false">Example!$B$32</definedName>
    <definedName function="false" hidden="false" name="npv_maintenance_in_euro" vbProcedure="false">Example!$B$33</definedName>
    <definedName function="false" hidden="false" name="npv_replacement_in_euro" vbProcedure="false">Example!$B$36</definedName>
    <definedName function="false" hidden="false" name="npv_residual_value_in_euro" vbProcedure="false">Example!$B$37</definedName>
    <definedName function="false" hidden="false" name="present_value_factor_sum" vbProcedure="false">Example!$B$25</definedName>
    <definedName function="false" hidden="false" name="standing_charge_in_euro_per_year" vbProcedure="false">Example!$B$21</definedName>
    <definedName function="false" hidden="false" name="total_npv_in_euro" vbProcedure="false">Example!$B$38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<sst xmlns="http://schemas.openxmlformats.org/spreadsheetml/2006/main" count="78" uniqueCount="76">
  <si>
    <t xml:space="preserve">METADATA</t>
  </si>
  <si>
    <t xml:space="preserve">value</t>
  </si>
  <si>
    <t xml:space="preserve">name</t>
  </si>
  <si>
    <t xml:space="preserve">escalated_operating_costs</t>
  </si>
  <si>
    <t xml:space="preserve">spec_section</t>
  </si>
  <si>
    <t xml:space="preserve">3.6</t>
  </si>
  <si>
    <t xml:space="preserve">computed_by</t>
  </si>
  <si>
    <t xml:space="preserve">Claude draft + LibreOffice recalculation, 2026-09-08</t>
  </si>
  <si>
    <t xml:space="preserve">description</t>
  </si>
  <si>
    <t xml:space="preserve">A 20,000 EUR device with a 10-year service life over a 10-year horizon at 3 % interest, with 1.5 % annual maintenance, 4,000 kWh of electricity at 0.30 EUR/kWh and a 120 EUR standing charge - and, unlike every other example in the library, escalation switched on: 3 % on energy and 2 % on everything general. All rates are nominal (§3.2), so every figure labelled nominal_* is in euros of its own year and the nominal series grows. The exponent convention is what this example pins: recurring payments are quoted at year-1 prices and escalate with (1+rate)^(t-1), so year 1 is unescalated and year 10 carries nine steps. Energy escalation deliberately equals the discount rate, which makes every year's discounted energy cost identical and the energy NPV exactly T times the year-1 figure over (1+i).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</si>
  <si>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</si>
  <si>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</si>
  <si>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</si>
  <si>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</si>
  <si>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</si>
  <si>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</si>
  <si>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investment_in_euro</t>
  </si>
  <si>
    <t xml:space="preserve">device cost override</t>
  </si>
  <si>
    <t xml:space="preserve">lifetime_in_years</t>
  </si>
  <si>
    <t xml:space="preserve">service life override; equal to the horizon, so no replacement and no residual value</t>
  </si>
  <si>
    <t xml:space="preserve">maintenance_rate</t>
  </si>
  <si>
    <t xml:space="preserve">annual maintenance as a share of the investment</t>
  </si>
  <si>
    <t xml:space="preserve">horizon_in_years</t>
  </si>
  <si>
    <t xml:space="preserve">observation period</t>
  </si>
  <si>
    <t xml:space="preserve">interest_rate</t>
  </si>
  <si>
    <t xml:space="preserve">nominal discount rate</t>
  </si>
  <si>
    <t xml:space="preserve">general_price_escalation_rate</t>
  </si>
  <si>
    <t xml:space="preserve">nominal; escalates maintenance and the standing charge (§3.6 rule 4)</t>
  </si>
  <si>
    <t xml:space="preserve">investment_price_escalation_rate</t>
  </si>
  <si>
    <t xml:space="preserve">nothing is re-purchased inside the horizon, so no investment escalation applies</t>
  </si>
  <si>
    <t xml:space="preserve">energy_price_escalation_rate</t>
  </si>
  <si>
    <t xml:space="preserve">nominal; escalates the working price. Deliberately equal to the interest rate</t>
  </si>
  <si>
    <t xml:space="preserve">energy_bought_in_kwh</t>
  </si>
  <si>
    <t xml:space="preserve">annual electricity purchase</t>
  </si>
  <si>
    <t xml:space="preserve">electricity_price_in_euro_per_kwh</t>
  </si>
  <si>
    <t xml:space="preserve">flat contract working price, at year-1 level</t>
  </si>
  <si>
    <t xml:space="preserve">standing_charge_in_euro_per_year</t>
  </si>
  <si>
    <t xml:space="preserve">flat contract standing charge, at year-1 level</t>
  </si>
  <si>
    <t xml:space="preserve">months_per_year</t>
  </si>
  <si>
    <t xml:space="preserve">the monthly figure is the annual one divided by twelve</t>
  </si>
  <si>
    <t xml:space="preserve">EXPECTED</t>
  </si>
  <si>
    <t xml:space="preserve">abs_tol</t>
  </si>
  <si>
    <t xml:space="preserve">note</t>
  </si>
  <si>
    <t xml:space="preserve">sign convention: cost positive, revenue / subsidy / residual value negative</t>
  </si>
  <si>
    <t xml:space="preserve">present_value_factor_sum</t>
  </si>
  <si>
    <t xml:space="preserve">sum of the discount factors of years 1..10; no escalated series uses it, each has its own factor below</t>
  </si>
  <si>
    <t xml:space="preserve">nominal_maintenance_year_1_in_euro</t>
  </si>
  <si>
    <t xml:space="preserve">recurring payments are quoted at year-1 prices, so year 1 carries the exponent 0 and escalation only starts in year 2 (§3.6 rule 4)</t>
  </si>
  <si>
    <t xml:space="preserve">nominal_maintenance_year_10_in_euro</t>
  </si>
  <si>
    <t xml:space="preserve">exponent horizon-1, not horizon: nine escalation steps lie between year 1 and year 10</t>
  </si>
  <si>
    <t xml:space="preserve">nominal_energy_working_year_1_in_euro</t>
  </si>
  <si>
    <t xml:space="preserve">nominal_energy_working_year_10_in_euro</t>
  </si>
  <si>
    <t xml:space="preserve">the working price escalates at the carrier rate, also from the year-1 level (§3.6 rule 5)</t>
  </si>
  <si>
    <t xml:space="preserve">nominal_energy_standing_year_1_in_euro</t>
  </si>
  <si>
    <t xml:space="preserve">nominal_energy_standing_year_10_in_euro</t>
  </si>
  <si>
    <t xml:space="preserve">the standing charge escalates with the general rate, not with the carrier rate</t>
  </si>
  <si>
    <t xml:space="preserve">npv_investment_in_euro</t>
  </si>
  <si>
    <t xml:space="preserve">paid at year 0, undiscounted</t>
  </si>
  <si>
    <t xml:space="preserve">npv_maintenance_in_euro</t>
  </si>
  <si>
    <t xml:space="preserve">closed form of the sum over t=1..T of (1+general)^(t-1)/(1+interest)^t</t>
  </si>
  <si>
    <t xml:space="preserve">npv_energy_standing_in_euro</t>
  </si>
  <si>
    <t xml:space="preserve">npv_energy_working_in_euro</t>
  </si>
  <si>
    <t xml:space="preserve">the energy escalation equals the discount rate, so every year discounts to the same amount and the sum is T times it; the closed form above would divide by zero here</t>
  </si>
  <si>
    <t xml:space="preserve">npv_replacement_in_euro</t>
  </si>
  <si>
    <t xml:space="preserve">constant, not a formula: the service life equals the horizon, so nothing is re-purchased</t>
  </si>
  <si>
    <t xml:space="preserve">npv_residual_value_in_euro</t>
  </si>
  <si>
    <t xml:space="preserve">constant, not a formula: the year-0 unit is exactly used up at the horizon, so there is no unused remainder to write back</t>
  </si>
  <si>
    <t xml:space="preserve">total_npv_in_euro</t>
  </si>
  <si>
    <t xml:space="preserve">annuity_factor</t>
  </si>
  <si>
    <t xml:space="preserve">eac_in_euro</t>
  </si>
  <si>
    <t xml:space="preserve">annual_cost_year_1_in_euro</t>
  </si>
  <si>
    <t xml:space="preserve">nominal, not discounted: the liquidity view of year 1</t>
  </si>
  <si>
    <t xml:space="preserve">annual_cost_year_10_in_euro</t>
  </si>
  <si>
    <t xml:space="preserve">the same liquidity view ten years on, and the point of the example: the nominal series grows, so year 1 and year 10 are different numbers</t>
  </si>
  <si>
    <t xml:space="preserve">monthly_cost_year_1_in_euro</t>
  </si>
  <si>
    <t xml:space="preserve">year 1 only; a later year's monthly figure would be larger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</si>
</sst>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0" t="s">
        <v>8</v>
      </c>
      <c r="B5" s="0" t="s">
        <v>9</v>
      </c>
    </row>
    <row r="6" customFormat="false" ht="15" hidden="false" customHeight="false" outlineLevel="0" collapsed="false">
      <c r="A6" s="0" t="s">
        <v>10</v>
      </c>
      <c r="C6" s="0" t="s">
        <v>11</v>
      </c>
    </row>
    <row r="7" customFormat="false" ht="15" hidden="false" customHeight="false" outlineLevel="0" collapsed="false">
      <c r="A7" s="0" t="s">
        <v>12</v>
      </c>
    </row>
    <row r="8" customFormat="false" ht="15" hidden="false" customHeight="false" outlineLevel="0" collapsed="false">
      <c r="A8" s="0" t="s">
        <v>13</v>
      </c>
    </row>
    <row r="10" customFormat="false" ht="15" hidden="false" customHeight="false" outlineLevel="0" collapsed="false">
      <c r="A10" s="0" t="s">
        <v>14</v>
      </c>
      <c r="B10" s="0" t="s">
        <v>1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0" t="n">
        <v>20000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0" t="n">
        <v>10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0" t="n">
        <v>0.015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0" t="n">
        <v>10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0" t="n">
        <v>0.03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0" t="n">
        <v>0.02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0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0" t="n">
        <v>0.03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0" t="n">
        <v>4000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0" t="n">
        <v>0.3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0" t="n">
        <v>120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0" t="n">
        <v>12</v>
      </c>
      <c r="C22" s="0" t="s">
        <v>39</v>
      </c>
    </row>
    <row r="24" customFormat="false" ht="15" hidden="false" customHeight="false" outlineLevel="0" collapsed="false">
      <c r="A24" s="0" t="s">
        <v>40</v>
      </c>
      <c r="B24" s="0" t="s">
        <v>1</v>
      </c>
      <c r="C24" s="0" t="s">
        <v>41</v>
      </c>
      <c r="D24" s="0" t="s">
        <v>42</v>
      </c>
      <c r="E24" s="0" t="s">
        <v>43</v>
      </c>
    </row>
    <row r="25" customFormat="false" ht="15" hidden="false" customHeight="false" outlineLevel="0" collapsed="false">
      <c r="A25" s="0" t="s">
        <v>44</v>
      </c>
      <c r="B25" s="0" t="n">
        <f aca="false">(1-(1+interest_rate)^-horizon_in_years)/interest_rate</f>
        <v>8.53020283677584</v>
      </c>
      <c r="C25" s="0" t="n">
        <v>1E-006</v>
      </c>
      <c r="D25" s="0" t="s">
        <v>45</v>
      </c>
    </row>
    <row r="26" customFormat="false" ht="15" hidden="false" customHeight="false" outlineLevel="0" collapsed="false">
      <c r="A26" s="0" t="s">
        <v>46</v>
      </c>
      <c r="B26" s="0" t="n">
        <f aca="false">investment_in_euro*maintenance_rate</f>
        <v>300</v>
      </c>
      <c r="C26" s="0" t="n">
        <v>0.01</v>
      </c>
      <c r="D26" s="0" t="s">
        <v>47</v>
      </c>
    </row>
    <row r="27" customFormat="false" ht="15" hidden="false" customHeight="false" outlineLevel="0" collapsed="false">
      <c r="A27" s="0" t="s">
        <v>48</v>
      </c>
      <c r="B27" s="0" t="n">
        <f aca="false">nominal_maintenance_year_1_in_euro*(1+general_price_escalation_rate)^(horizon_in_years-1)</f>
        <v>358.527770586693</v>
      </c>
      <c r="C27" s="0" t="n">
        <v>0.01</v>
      </c>
      <c r="D27" s="0" t="s">
        <v>49</v>
      </c>
    </row>
    <row r="28" customFormat="false" ht="15" hidden="false" customHeight="false" outlineLevel="0" collapsed="false">
      <c r="A28" s="0" t="s">
        <v>50</v>
      </c>
      <c r="B28" s="0" t="n">
        <f aca="false">energy_bought_in_kwh*electricity_price_in_euro_per_kwh</f>
        <v>1200</v>
      </c>
      <c r="C28" s="0" t="n">
        <v>0.01</v>
      </c>
    </row>
    <row r="29" customFormat="false" ht="15" hidden="false" customHeight="false" outlineLevel="0" collapsed="false">
      <c r="A29" s="0" t="s">
        <v>51</v>
      </c>
      <c r="B29" s="0" t="n">
        <f aca="false">nominal_energy_working_year_1_in_euro*(1+energy_price_escalation_rate)^(horizon_in_years-1)</f>
        <v>1565.72782059509</v>
      </c>
      <c r="C29" s="0" t="n">
        <v>0.01</v>
      </c>
      <c r="D29" s="0" t="s">
        <v>52</v>
      </c>
    </row>
    <row r="30" customFormat="false" ht="15" hidden="false" customHeight="false" outlineLevel="0" collapsed="false">
      <c r="A30" s="0" t="s">
        <v>53</v>
      </c>
      <c r="B30" s="0" t="n">
        <f aca="false">standing_charge_in_euro_per_year</f>
        <v>120</v>
      </c>
      <c r="C30" s="0" t="n">
        <v>0.01</v>
      </c>
    </row>
    <row r="31" customFormat="false" ht="15" hidden="false" customHeight="false" outlineLevel="0" collapsed="false">
      <c r="A31" s="0" t="s">
        <v>54</v>
      </c>
      <c r="B31" s="0" t="n">
        <f aca="false">standing_charge_in_euro_per_year*(1+general_price_escalation_rate)^(horizon_in_years-1)</f>
        <v>143.411108234677</v>
      </c>
      <c r="C31" s="0" t="n">
        <v>0.01</v>
      </c>
      <c r="D31" s="0" t="s">
        <v>55</v>
      </c>
    </row>
    <row r="32" customFormat="false" ht="15" hidden="false" customHeight="false" outlineLevel="0" collapsed="false">
      <c r="A32" s="0" t="s">
        <v>56</v>
      </c>
      <c r="B32" s="0" t="n">
        <f aca="false">investment_in_euro</f>
        <v>20000</v>
      </c>
      <c r="C32" s="0" t="n">
        <v>0.01</v>
      </c>
      <c r="D32" s="0" t="s">
        <v>57</v>
      </c>
    </row>
    <row r="33" customFormat="false" ht="15" hidden="false" customHeight="false" outlineLevel="0" collapsed="false">
      <c r="A33" s="0" t="s">
        <v>58</v>
      </c>
      <c r="B33" s="0" t="n">
        <f aca="false">nominal_maintenance_year_1_in_euro*(1-((1+general_price_escalation_rate)/(1+interest_rate))^horizon_in_years)/(interest_rate-general_price_escalation_rate)</f>
        <v>2788.61009366515</v>
      </c>
      <c r="C33" s="0" t="n">
        <v>0.01</v>
      </c>
      <c r="D33" s="0" t="s">
        <v>59</v>
      </c>
    </row>
    <row r="34" customFormat="false" ht="15" hidden="false" customHeight="false" outlineLevel="0" collapsed="false">
      <c r="A34" s="0" t="s">
        <v>60</v>
      </c>
      <c r="B34" s="0" t="n">
        <f aca="false">standing_charge_in_euro_per_year*(1-((1+general_price_escalation_rate)/(1+interest_rate))^horizon_in_years)/(interest_rate-general_price_escalation_rate)</f>
        <v>1115.44403746606</v>
      </c>
      <c r="C34" s="0" t="n">
        <v>0.01</v>
      </c>
    </row>
    <row r="35" customFormat="false" ht="15" hidden="false" customHeight="false" outlineLevel="0" collapsed="false">
      <c r="A35" s="0" t="s">
        <v>61</v>
      </c>
      <c r="B35" s="0" t="n">
        <f aca="false">nominal_energy_working_year_1_in_euro*horizon_in_years/(1+interest_rate)</f>
        <v>11650.4854368932</v>
      </c>
      <c r="C35" s="0" t="n">
        <v>0.01</v>
      </c>
      <c r="D35" s="0" t="s">
        <v>62</v>
      </c>
    </row>
    <row r="36" customFormat="false" ht="15" hidden="false" customHeight="false" outlineLevel="0" collapsed="false">
      <c r="A36" s="0" t="s">
        <v>63</v>
      </c>
      <c r="B36" s="0" t="n">
        <v>0</v>
      </c>
      <c r="C36" s="0" t="n">
        <v>0.01</v>
      </c>
      <c r="D36" s="0" t="s">
        <v>64</v>
      </c>
    </row>
    <row r="37" customFormat="false" ht="15" hidden="false" customHeight="false" outlineLevel="0" collapsed="false">
      <c r="A37" s="0" t="s">
        <v>65</v>
      </c>
      <c r="B37" s="0" t="n">
        <v>0</v>
      </c>
      <c r="C37" s="0" t="n">
        <v>0.01</v>
      </c>
      <c r="D37" s="0" t="s">
        <v>66</v>
      </c>
    </row>
    <row r="38" customFormat="false" ht="15" hidden="false" customHeight="false" outlineLevel="0" collapsed="false">
      <c r="A38" s="0" t="s">
        <v>67</v>
      </c>
      <c r="B38" s="0" t="n">
        <f aca="false">npv_investment_in_euro+npv_maintenance_in_euro+npv_energy_working_in_euro+npv_energy_standing_in_euro</f>
        <v>35554.5395680244</v>
      </c>
      <c r="C38" s="0" t="n">
        <v>0.01</v>
      </c>
    </row>
    <row r="39" customFormat="false" ht="15" hidden="false" customHeight="false" outlineLevel="0" collapsed="false">
      <c r="A39" s="0" t="s">
        <v>68</v>
      </c>
      <c r="B39" s="0" t="n">
        <f aca="false">interest_rate*(1+interest_rate)^horizon_in_years/((1+interest_rate)^horizon_in_years-1)</f>
        <v>0.11723050660516</v>
      </c>
      <c r="C39" s="0" t="n">
        <v>1E-006</v>
      </c>
    </row>
    <row r="40" customFormat="false" ht="15" hidden="false" customHeight="false" outlineLevel="0" collapsed="false">
      <c r="A40" s="0" t="s">
        <v>69</v>
      </c>
      <c r="B40" s="0" t="n">
        <f aca="false">total_npv_in_euro*annuity_factor</f>
        <v>4168.07668567269</v>
      </c>
      <c r="C40" s="0" t="n">
        <v>0.01</v>
      </c>
    </row>
    <row r="41" customFormat="false" ht="15" hidden="false" customHeight="false" outlineLevel="0" collapsed="false">
      <c r="A41" s="0" t="s">
        <v>70</v>
      </c>
      <c r="B41" s="0" t="n">
        <f aca="false">nominal_maintenance_year_1_in_euro+nominal_energy_working_year_1_in_euro+nominal_energy_standing_year_1_in_euro</f>
        <v>1620</v>
      </c>
      <c r="C41" s="0" t="n">
        <v>0.01</v>
      </c>
      <c r="D41" s="0" t="s">
        <v>71</v>
      </c>
    </row>
    <row r="42" customFormat="false" ht="15" hidden="false" customHeight="false" outlineLevel="0" collapsed="false">
      <c r="A42" s="0" t="s">
        <v>72</v>
      </c>
      <c r="B42" s="0" t="n">
        <f aca="false">nominal_maintenance_year_10_in_euro+nominal_energy_working_year_10_in_euro+nominal_energy_standing_year_10_in_euro</f>
        <v>2067.66669941646</v>
      </c>
      <c r="C42" s="0" t="n">
        <v>0.01</v>
      </c>
      <c r="D42" s="0" t="s">
        <v>73</v>
      </c>
    </row>
    <row r="43" customFormat="false" ht="15" hidden="false" customHeight="false" outlineLevel="0" collapsed="false">
      <c r="A43" s="0" t="s">
        <v>74</v>
      </c>
      <c r="B43" s="0" t="n">
        <f aca="false">annual_cost_year_1_in_euro/months_per_year</f>
        <v>135</v>
      </c>
      <c r="C43" s="0" t="n">
        <v>0.01</v>
      </c>
      <c r="D43" s="0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2026-09-08T10:10:08Z</dcterms:created>
  <dc:creator>openpyxl</dc:creator>
  <dc:description/>
  <dc:language>en-US</dc:language>
  <cp:lastModifiedBy/>
  <dcterms:modified xsi:type="dcterms:W3CDTF">2026-09-08T10:10:08Z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