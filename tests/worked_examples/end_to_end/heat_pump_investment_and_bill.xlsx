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annual_cost_year_1_in_euro" vbProcedure="false">Example!$B$34</definedName>
    <definedName function="false" hidden="false" name="annuity_factor" vbProcedure="false">Example!$B$32</definedName>
    <definedName function="false" hidden="false" name="eac_in_euro" vbProcedure="false">Example!$B$33</definedName>
    <definedName function="false" hidden="false" name="electricity_price_in_euro_per_kwh" vbProcedure="false">Example!$B$20</definedName>
    <definedName function="false" hidden="false" name="energy_bought_in_kwh" vbProcedure="false">Example!$B$19</definedName>
    <definedName function="false" hidden="false" name="energy_price_escalation_rate" vbProcedure="false">Example!$B$18</definedName>
    <definedName function="false" hidden="false" name="general_price_escalation_rate" vbProcedure="false">Example!$B$16</definedName>
    <definedName function="false" hidden="false" name="horizon_in_years" vbProcedure="false">Example!$B$14</definedName>
    <definedName function="false" hidden="false" name="interest_rate" vbProcedure="false">Example!$B$15</definedName>
    <definedName function="false" hidden="false" name="investment_in_euro" vbProcedure="false">Example!$B$11</definedName>
    <definedName function="false" hidden="false" name="investment_price_escalation_rate" vbProcedure="false">Example!$B$17</definedName>
    <definedName function="false" hidden="false" name="lifetime_in_years" vbProcedure="false">Example!$B$12</definedName>
    <definedName function="false" hidden="false" name="maintenance_rate" vbProcedure="false">Example!$B$13</definedName>
    <definedName function="false" hidden="false" name="monthly_cost_year_1_in_euro" vbProcedure="false">Example!$B$35</definedName>
    <definedName function="false" hidden="false" name="months_per_year" vbProcedure="false">Example!$B$22</definedName>
    <definedName function="false" hidden="false" name="nominal_energy_working_year_1_in_euro" vbProcedure="false">Example!$B$26</definedName>
    <definedName function="false" hidden="false" name="nominal_maintenance_year_1_in_euro" vbProcedure="false">Example!$B$25</definedName>
    <definedName function="false" hidden="false" name="npv_energy_standing_in_euro" vbProcedure="false">Example!$B$30</definedName>
    <definedName function="false" hidden="false" name="npv_energy_working_in_euro" vbProcedure="false">Example!$B$29</definedName>
    <definedName function="false" hidden="false" name="npv_investment_in_euro" vbProcedure="false">Example!$B$27</definedName>
    <definedName function="false" hidden="false" name="npv_maintenance_in_euro" vbProcedure="false">Example!$B$28</definedName>
    <definedName function="false" hidden="false" name="present_value_factor_sum" vbProcedure="false">Example!$B$24</definedName>
    <definedName function="false" hidden="false" name="standing_charge_in_euro_per_year" vbProcedure="false">Example!$B$21</definedName>
    <definedName function="false" hidden="false" name="total_npv_in_euro" vbProcedure="false">Example!$B$31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<sst xmlns="http://schemas.openxmlformats.org/spreadsheetml/2006/main" count="62" uniqueCount="59">
  <si>
    <t xml:space="preserve">METADATA</t>
  </si>
  <si>
    <t xml:space="preserve">value</t>
  </si>
  <si>
    <t xml:space="preserve">name</t>
  </si>
  <si>
    <t xml:space="preserve">heat_pump_investment_and_bill</t>
  </si>
  <si>
    <t xml:space="preserve">spec_section</t>
  </si>
  <si>
    <t xml:space="preserve">3.6</t>
  </si>
  <si>
    <t xml:space="preserve">computed_by</t>
  </si>
  <si>
    <t xml:space="preserve">Claude draft + LibreOffice recalculation, 2026-08-12</t>
  </si>
  <si>
    <t xml:space="preserve">description</t>
  </si>
  <si>
    <t xml:space="preserve">A 20,000 EUR heat pump with a 10-year service life over a 10-year horizon at 3 % interest and no escalation. Maintenance is 1.5 % of the investment every year, the household buys 4,000 kWh at 0.30 EUR/kWh and pays a 120 EUR standing charge. Every annual item is discounted with the same present-value factor sum; lifetime equals the horizon, so there is neither a replacement nor a residual value.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</si>
  <si>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</si>
  <si>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</si>
  <si>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</si>
  <si>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</si>
  <si>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</si>
  <si>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</si>
  <si>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investment_in_euro</t>
  </si>
  <si>
    <t xml:space="preserve">device cost override</t>
  </si>
  <si>
    <t xml:space="preserve">lifetime_in_years</t>
  </si>
  <si>
    <t xml:space="preserve">service life override</t>
  </si>
  <si>
    <t xml:space="preserve">maintenance_rate</t>
  </si>
  <si>
    <t xml:space="preserve">annual maintenance as a share of the investment</t>
  </si>
  <si>
    <t xml:space="preserve">horizon_in_years</t>
  </si>
  <si>
    <t xml:space="preserve">observation period</t>
  </si>
  <si>
    <t xml:space="preserve">interest_rate</t>
  </si>
  <si>
    <t xml:space="preserve">discount rate</t>
  </si>
  <si>
    <t xml:space="preserve">general_price_escalation_rate</t>
  </si>
  <si>
    <t xml:space="preserve">no escalation, so the example stays hand-checkable</t>
  </si>
  <si>
    <t xml:space="preserve">investment_price_escalation_rate</t>
  </si>
  <si>
    <t xml:space="preserve">no escalation</t>
  </si>
  <si>
    <t xml:space="preserve">energy_price_escalation_rate</t>
  </si>
  <si>
    <t xml:space="preserve">energy_bought_in_kwh</t>
  </si>
  <si>
    <t xml:space="preserve">annual electricity purchase</t>
  </si>
  <si>
    <t xml:space="preserve">electricity_price_in_euro_per_kwh</t>
  </si>
  <si>
    <t xml:space="preserve">flat contract working price</t>
  </si>
  <si>
    <t xml:space="preserve">standing_charge_in_euro_per_year</t>
  </si>
  <si>
    <t xml:space="preserve">flat contract standing charge</t>
  </si>
  <si>
    <t xml:space="preserve">months_per_year</t>
  </si>
  <si>
    <t xml:space="preserve">the monthly figure is the annual one divided by twelve (no intra-year discounting)</t>
  </si>
  <si>
    <t xml:space="preserve">EXPECTED</t>
  </si>
  <si>
    <t xml:space="preserve">abs_tol</t>
  </si>
  <si>
    <t xml:space="preserve">note</t>
  </si>
  <si>
    <t xml:space="preserve">sign convention: cost positive, revenue / subsidy / residual value negative</t>
  </si>
  <si>
    <t xml:space="preserve">present_value_factor_sum</t>
  </si>
  <si>
    <t xml:space="preserve">sum of the discount factors of years 1..10</t>
  </si>
  <si>
    <t xml:space="preserve">nominal_maintenance_year_1_in_euro</t>
  </si>
  <si>
    <t xml:space="preserve">year 0 is the investment year and is undiscounted; operating flows fall in years 1..T (§3.6), so nominal_*_year_1 names the year-1 timeline entry - exact also under escalation, where every year's nominal figure differs</t>
  </si>
  <si>
    <t xml:space="preserve">nominal_energy_working_year_1_in_euro</t>
  </si>
  <si>
    <t xml:space="preserve">npv_investment_in_euro</t>
  </si>
  <si>
    <t xml:space="preserve">paid at year 0, undiscounted</t>
  </si>
  <si>
    <t xml:space="preserve">npv_maintenance_in_euro</t>
  </si>
  <si>
    <t xml:space="preserve">npv_energy_working_in_euro</t>
  </si>
  <si>
    <t xml:space="preserve">npv_energy_standing_in_euro</t>
  </si>
  <si>
    <t xml:space="preserve">total_npv_in_euro</t>
  </si>
  <si>
    <t xml:space="preserve">annuity_factor</t>
  </si>
  <si>
    <t xml:space="preserve">eac_in_euro</t>
  </si>
  <si>
    <t xml:space="preserve">annual_cost_year_1_in_euro</t>
  </si>
  <si>
    <t xml:space="preserve">nominal, not discounted: the liquidity view of any operating year (constant here - nothing escalates)</t>
  </si>
  <si>
    <t xml:space="preserve">monthly_cost_year_1_in_euro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</si>
</sst>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0</v>
      </c>
      <c r="B1" s="2" t="s">
        <v>1</v>
      </c>
      <c r="C1" s="3"/>
    </row>
    <row r="2" customFormat="false" ht="15" hidden="false" customHeight="true" outlineLevel="0" collapsed="false">
      <c r="A2" s="1" t="s">
        <v>2</v>
      </c>
      <c r="B2" s="1" t="s">
        <v>3</v>
      </c>
      <c r="C2" s="3"/>
    </row>
    <row r="3" customFormat="false" ht="15" hidden="false" customHeight="true" outlineLevel="0" collapsed="false">
      <c r="A3" s="1" t="s">
        <v>4</v>
      </c>
      <c r="B3" s="1" t="s">
        <v>5</v>
      </c>
      <c r="C3" s="3"/>
    </row>
    <row r="4" customFormat="false" ht="15" hidden="false" customHeight="true" outlineLevel="0" collapsed="false">
      <c r="A4" s="1" t="s">
        <v>6</v>
      </c>
      <c r="B4" s="1" t="s">
        <v>7</v>
      </c>
      <c r="C4" s="3"/>
    </row>
    <row r="5" customFormat="false" ht="15" hidden="false" customHeight="true" outlineLevel="0" collapsed="false">
      <c r="A5" s="1" t="s">
        <v>8</v>
      </c>
      <c r="B5" s="1" t="s">
        <v>9</v>
      </c>
      <c r="C5" s="3"/>
    </row>
    <row r="6" customFormat="false" ht="15" hidden="false" customHeight="true" outlineLevel="0" collapsed="false">
      <c r="A6" s="1" t="s">
        <v>10</v>
      </c>
      <c r="C6" s="3" t="s">
        <v>11</v>
      </c>
    </row>
    <row r="7" customFormat="false" ht="15" hidden="false" customHeight="true" outlineLevel="0" collapsed="false">
      <c r="A7" s="1" t="s">
        <v>12</v>
      </c>
      <c r="C7" s="3"/>
    </row>
    <row r="8" customFormat="false" ht="15" hidden="false" customHeight="true" outlineLevel="0" collapsed="false">
      <c r="A8" s="1" t="s">
        <v>13</v>
      </c>
      <c r="C8" s="3"/>
    </row>
    <row r="9" customFormat="false" ht="15" hidden="false" customHeight="true" outlineLevel="0" collapsed="false">
      <c r="C9" s="3"/>
    </row>
    <row r="10" customFormat="false" ht="15" hidden="false" customHeight="true" outlineLevel="0" collapsed="false">
      <c r="A10" s="2" t="s">
        <v>14</v>
      </c>
      <c r="B10" s="2" t="s">
        <v>1</v>
      </c>
      <c r="C10" s="4" t="s">
        <v>15</v>
      </c>
    </row>
    <row r="11" customFormat="false" ht="15" hidden="false" customHeight="true" outlineLevel="0" collapsed="false">
      <c r="A11" s="1" t="s">
        <v>16</v>
      </c>
      <c r="B11" s="1" t="n">
        <v>20000</v>
      </c>
      <c r="C11" s="3" t="s">
        <v>17</v>
      </c>
    </row>
    <row r="12" customFormat="false" ht="15" hidden="false" customHeight="true" outlineLevel="0" collapsed="false">
      <c r="A12" s="1" t="s">
        <v>18</v>
      </c>
      <c r="B12" s="1" t="n">
        <v>10</v>
      </c>
      <c r="C12" s="3" t="s">
        <v>19</v>
      </c>
    </row>
    <row r="13" customFormat="false" ht="15" hidden="false" customHeight="true" outlineLevel="0" collapsed="false">
      <c r="A13" s="1" t="s">
        <v>20</v>
      </c>
      <c r="B13" s="1" t="n">
        <v>0.015</v>
      </c>
      <c r="C13" s="3" t="s">
        <v>21</v>
      </c>
    </row>
    <row r="14" customFormat="false" ht="15" hidden="false" customHeight="true" outlineLevel="0" collapsed="false">
      <c r="A14" s="1" t="s">
        <v>22</v>
      </c>
      <c r="B14" s="1" t="n">
        <v>10</v>
      </c>
      <c r="C14" s="3" t="s">
        <v>23</v>
      </c>
    </row>
    <row r="15" customFormat="false" ht="15" hidden="false" customHeight="true" outlineLevel="0" collapsed="false">
      <c r="A15" s="1" t="s">
        <v>24</v>
      </c>
      <c r="B15" s="1" t="n">
        <v>0.03</v>
      </c>
      <c r="C15" s="3" t="s">
        <v>25</v>
      </c>
    </row>
    <row r="16" customFormat="false" ht="15" hidden="false" customHeight="true" outlineLevel="0" collapsed="false">
      <c r="A16" s="1" t="s">
        <v>26</v>
      </c>
      <c r="B16" s="1" t="n">
        <v>0</v>
      </c>
      <c r="C16" s="3" t="s">
        <v>27</v>
      </c>
    </row>
    <row r="17" customFormat="false" ht="15" hidden="false" customHeight="true" outlineLevel="0" collapsed="false">
      <c r="A17" s="1" t="s">
        <v>28</v>
      </c>
      <c r="B17" s="1" t="n">
        <v>0</v>
      </c>
      <c r="C17" s="3" t="s">
        <v>29</v>
      </c>
    </row>
    <row r="18" customFormat="false" ht="15" hidden="false" customHeight="true" outlineLevel="0" collapsed="false">
      <c r="A18" s="1" t="s">
        <v>30</v>
      </c>
      <c r="B18" s="1" t="n">
        <v>0</v>
      </c>
      <c r="C18" s="3" t="s">
        <v>29</v>
      </c>
    </row>
    <row r="19" customFormat="false" ht="15" hidden="false" customHeight="true" outlineLevel="0" collapsed="false">
      <c r="A19" s="1" t="s">
        <v>31</v>
      </c>
      <c r="B19" s="1" t="n">
        <v>4000</v>
      </c>
      <c r="C19" s="3" t="s">
        <v>32</v>
      </c>
    </row>
    <row r="20" customFormat="false" ht="15" hidden="false" customHeight="true" outlineLevel="0" collapsed="false">
      <c r="A20" s="1" t="s">
        <v>33</v>
      </c>
      <c r="B20" s="1" t="n">
        <v>0.3</v>
      </c>
      <c r="C20" s="3" t="s">
        <v>34</v>
      </c>
    </row>
    <row r="21" customFormat="false" ht="15" hidden="false" customHeight="true" outlineLevel="0" collapsed="false">
      <c r="A21" s="1" t="s">
        <v>35</v>
      </c>
      <c r="B21" s="1" t="n">
        <v>120</v>
      </c>
      <c r="C21" s="3" t="s">
        <v>36</v>
      </c>
    </row>
    <row r="22" customFormat="false" ht="15" hidden="false" customHeight="true" outlineLevel="0" collapsed="false">
      <c r="A22" s="1" t="s">
        <v>37</v>
      </c>
      <c r="B22" s="1" t="n">
        <v>12</v>
      </c>
      <c r="C22" s="3" t="s">
        <v>38</v>
      </c>
    </row>
    <row r="23" customFormat="false" ht="15" hidden="false" customHeight="true" outlineLevel="0" collapsed="false">
      <c r="A23" s="2" t="s">
        <v>39</v>
      </c>
      <c r="B23" s="2" t="s">
        <v>1</v>
      </c>
      <c r="C23" s="4" t="s">
        <v>40</v>
      </c>
      <c r="D23" s="2" t="s">
        <v>41</v>
      </c>
      <c r="E23" s="1" t="s">
        <v>42</v>
      </c>
    </row>
    <row r="24" customFormat="false" ht="15" hidden="false" customHeight="true" outlineLevel="0" collapsed="false">
      <c r="A24" s="1" t="s">
        <v>43</v>
      </c>
      <c r="B24" s="1" t="n">
        <f aca="false">(1-(1+interest_rate)^-horizon_in_years)/interest_rate</f>
        <v>8.53020283677584</v>
      </c>
      <c r="C24" s="3" t="n">
        <v>1E-006</v>
      </c>
      <c r="D24" s="1" t="s">
        <v>44</v>
      </c>
    </row>
    <row r="25" customFormat="false" ht="15" hidden="false" customHeight="true" outlineLevel="0" collapsed="false">
      <c r="A25" s="1" t="s">
        <v>45</v>
      </c>
      <c r="B25" s="1" t="n">
        <f aca="false">investment_in_euro*maintenance_rate</f>
        <v>300</v>
      </c>
      <c r="C25" s="3" t="n">
        <v>0.01</v>
      </c>
      <c r="D25" s="1" t="s">
        <v>46</v>
      </c>
    </row>
    <row r="26" customFormat="false" ht="15" hidden="false" customHeight="true" outlineLevel="0" collapsed="false">
      <c r="A26" s="1" t="s">
        <v>47</v>
      </c>
      <c r="B26" s="1" t="n">
        <f aca="false">energy_bought_in_kwh*electricity_price_in_euro_per_kwh</f>
        <v>1200</v>
      </c>
      <c r="C26" s="3" t="n">
        <v>0.01</v>
      </c>
    </row>
    <row r="27" customFormat="false" ht="15" hidden="false" customHeight="true" outlineLevel="0" collapsed="false">
      <c r="A27" s="1" t="s">
        <v>48</v>
      </c>
      <c r="B27" s="1" t="n">
        <f aca="false">investment_in_euro</f>
        <v>20000</v>
      </c>
      <c r="C27" s="3" t="n">
        <v>0.01</v>
      </c>
      <c r="D27" s="1" t="s">
        <v>49</v>
      </c>
    </row>
    <row r="28" customFormat="false" ht="15" hidden="false" customHeight="true" outlineLevel="0" collapsed="false">
      <c r="A28" s="1" t="s">
        <v>50</v>
      </c>
      <c r="B28" s="1" t="n">
        <f aca="false">nominal_maintenance_year_1_in_euro*present_value_factor_sum</f>
        <v>2559.06085103275</v>
      </c>
      <c r="C28" s="3" t="n">
        <v>0.01</v>
      </c>
    </row>
    <row r="29" customFormat="false" ht="15" hidden="false" customHeight="true" outlineLevel="0" collapsed="false">
      <c r="A29" s="1" t="s">
        <v>51</v>
      </c>
      <c r="B29" s="1" t="n">
        <f aca="false">nominal_energy_working_year_1_in_euro*present_value_factor_sum</f>
        <v>10236.243404131</v>
      </c>
      <c r="C29" s="3" t="n">
        <v>0.01</v>
      </c>
    </row>
    <row r="30" customFormat="false" ht="15" hidden="false" customHeight="true" outlineLevel="0" collapsed="false">
      <c r="A30" s="1" t="s">
        <v>52</v>
      </c>
      <c r="B30" s="1" t="n">
        <f aca="false">standing_charge_in_euro_per_year*present_value_factor_sum</f>
        <v>1023.6243404131</v>
      </c>
      <c r="C30" s="3" t="n">
        <v>0.01</v>
      </c>
    </row>
    <row r="31" customFormat="false" ht="15" hidden="false" customHeight="true" outlineLevel="0" collapsed="false">
      <c r="A31" s="1" t="s">
        <v>53</v>
      </c>
      <c r="B31" s="1" t="n">
        <f aca="false">npv_investment_in_euro+npv_maintenance_in_euro+npv_energy_working_in_euro+npv_energy_standing_in_euro</f>
        <v>33818.9285955769</v>
      </c>
      <c r="C31" s="3" t="n">
        <v>0.01</v>
      </c>
    </row>
    <row r="32" customFormat="false" ht="15" hidden="false" customHeight="true" outlineLevel="0" collapsed="false">
      <c r="A32" s="1" t="s">
        <v>54</v>
      </c>
      <c r="B32" s="1" t="n">
        <f aca="false">interest_rate*(1+interest_rate)^horizon_in_years/((1+interest_rate)^horizon_in_years-1)</f>
        <v>0.11723050660516</v>
      </c>
      <c r="C32" s="3" t="n">
        <v>1E-006</v>
      </c>
    </row>
    <row r="33" customFormat="false" ht="15" hidden="false" customHeight="true" outlineLevel="0" collapsed="false">
      <c r="A33" s="1" t="s">
        <v>55</v>
      </c>
      <c r="B33" s="1" t="n">
        <f aca="false">total_npv_in_euro*annuity_factor</f>
        <v>3964.61013210319</v>
      </c>
      <c r="C33" s="3" t="n">
        <v>0.01</v>
      </c>
    </row>
    <row r="34" customFormat="false" ht="15" hidden="false" customHeight="true" outlineLevel="0" collapsed="false">
      <c r="A34" s="1" t="s">
        <v>56</v>
      </c>
      <c r="B34" s="1" t="n">
        <f aca="false">nominal_maintenance_year_1_in_euro+nominal_energy_working_year_1_in_euro+standing_charge_in_euro_per_year</f>
        <v>1620</v>
      </c>
      <c r="C34" s="3" t="n">
        <v>0.01</v>
      </c>
      <c r="D34" s="1" t="s">
        <v>57</v>
      </c>
    </row>
    <row r="35" customFormat="false" ht="15" hidden="false" customHeight="true" outlineLevel="0" collapsed="false">
      <c r="A35" s="1" t="s">
        <v>58</v>
      </c>
      <c r="B35" s="1" t="n">
        <f aca="false">annual_cost_year_1_in_euro/months_per_year</f>
        <v>135</v>
      </c>
      <c r="C35" s="3" t="n"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2026-08-12T10:21:23Z</dcterms:created>
  <dc:creator>openpyxl</dc:creator>
  <dc:description/>
  <dc:language>en-US</dc:language>
  <cp:lastModifiedBy/>
  <dcterms:modified xsi:type="dcterms:W3CDTF">2026-09-08T10:07:52Z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