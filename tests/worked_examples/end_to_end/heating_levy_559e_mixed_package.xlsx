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al_levy_general_in_euro" vbProcedure="false">Example!$B$34</definedName>
    <definedName function="false" hidden="false" name="annual_levy_heating_in_euro" vbProcedure="false">Example!$B$33</definedName>
    <definedName function="false" hidden="false" name="annual_levy_total_in_euro" vbProcedure="false">Example!$B$35</definedName>
    <definedName function="false" hidden="false" name="cap_in_euro_per_m2_per_month" vbProcedure="false">Example!$B$21</definedName>
    <definedName function="false" hidden="false" name="cap_low_rent_threshold_in_euro_per_m2" vbProcedure="false">Example!$B$23</definedName>
    <definedName function="false" hidden="false" name="current_cold_rent_in_euro_per_m2_month" vbProcedure="false">Example!$B$16</definedName>
    <definedName function="false" hidden="false" name="envelope_investment_in_euro" vbProcedure="false">Example!$B$12</definedName>
    <definedName function="false" hidden="false" name="envelope_subsidy_rate" vbProcedure="false">Example!$B$14</definedName>
    <definedName function="false" hidden="false" name="general_cap_in_euro_per_year" vbProcedure="false">Example!$B$32</definedName>
    <definedName function="false" hidden="false" name="general_levy_basis_in_euro" vbProcedure="false">Example!$B$30</definedName>
    <definedName function="false" hidden="false" name="heating_cap_in_euro_per_m2_per_month" vbProcedure="false">Example!$B$22</definedName>
    <definedName function="false" hidden="false" name="heating_cap_in_euro_per_year" vbProcedure="false">Example!$B$31</definedName>
    <definedName function="false" hidden="false" name="heating_investment_in_euro" vbProcedure="false">Example!$B$11</definedName>
    <definedName function="false" hidden="false" name="heating_levy_basis_in_euro" vbProcedure="false">Example!$B$29</definedName>
    <definedName function="false" hidden="false" name="heating_levy_rate_per_year" vbProcedure="false">Example!$B$20</definedName>
    <definedName function="false" hidden="false" name="heating_subsidy_rate" vbProcedure="false">Example!$B$13</definedName>
    <definedName function="false" hidden="false" name="horizon_in_years" vbProcedure="false">Example!$B$17</definedName>
    <definedName function="false" hidden="false" name="interest_rate" vbProcedure="false">Example!$B$18</definedName>
    <definedName function="false" hidden="false" name="landlord_npv_in_euro" vbProcedure="false">Example!$B$39</definedName>
    <definedName function="false" hidden="false" name="levy_npv_in_euro" vbProcedure="false">Example!$B$37</definedName>
    <definedName function="false" hidden="false" name="levy_rate_per_year" vbProcedure="false">Example!$B$19</definedName>
    <definedName function="false" hidden="false" name="living_area_in_m2" vbProcedure="false">Example!$B$15</definedName>
    <definedName function="false" hidden="false" name="months_per_year" vbProcedure="false">Example!$B$24</definedName>
    <definedName function="false" hidden="false" name="present_value_factor_sum" vbProcedure="false">Example!$B$36</definedName>
    <definedName function="false" hidden="false" name="subsidy_deduction_heatpump_in_euro" vbProcedure="false">Example!$B$27</definedName>
    <definedName function="false" hidden="false" name="subsidy_deduction_wallinsulation_in_euro" vbProcedure="false">Example!$B$28</definedName>
    <definedName function="false" hidden="false" name="tenant_npv_in_euro" vbProcedure="false">Example!$B$38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<sst xmlns="http://schemas.openxmlformats.org/spreadsheetml/2006/main" count="74" uniqueCount="72">
  <si>
    <t xml:space="preserve">METADATA</t>
  </si>
  <si>
    <t xml:space="preserve">value</t>
  </si>
  <si>
    <t xml:space="preserve">name</t>
  </si>
  <si>
    <t xml:space="preserve">heating_levy_559e_mixed_package</t>
  </si>
  <si>
    <t xml:space="preserve">spec_section</t>
  </si>
  <si>
    <t xml:space="preserve">6.4</t>
  </si>
  <si>
    <t xml:space="preserve">computed_by</t>
  </si>
  <si>
    <t xml:space="preserve">Claude draft + LibreOffice recalculation, 2026-08-14</t>
  </si>
  <si>
    <t xml:space="preserve">description</t>
  </si>
  <si>
    <t xml:space="preserve">A mixed retrofit package in a rented flat of 100 m2 at a cold rent of 9.00 EUR/m2/month: a 30,000 EUR heat pump with a 30 % grant and a 50,000 EUR wall insulation with a 20 % grant, over a 20-year horizon at 3 % interest. The heat pump is a heating measure under 559e BGB and is levied at 10 % of its subsidy-reduced basis, but its 2,100 EUR/a run into the 559e cap of 0.50 EUR/m2/month = 600 EUR/a. The insulation is an ordinary 559 measure at 8 % of 40,000 EUR = 3,200 EUR/a, and the two together (3,800 EUR/a) exceed the general cap of 3.00 EUR/m2/month = 3,600 EUR/a, so the non-heating leg is cut first, to 3,000 EUR/a. The statutory percentages are copied here from hisim/cost_database/allocation_DE_2024.json; a change to that file must fail this example rather than re-baseline it.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</si>
  <si>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</si>
  <si>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</si>
  <si>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</si>
  <si>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</si>
  <si>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</si>
  <si>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</si>
  <si>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heating_investment_in_euro</t>
  </si>
  <si>
    <t xml:space="preserve">heat pump, device cost override</t>
  </si>
  <si>
    <t xml:space="preserve">envelope_investment_in_euro</t>
  </si>
  <si>
    <t xml:space="preserve">wall insulation, device cost override</t>
  </si>
  <si>
    <t xml:space="preserve">heating_subsidy_rate</t>
  </si>
  <si>
    <t xml:space="preserve">upfront grant on the heat pump</t>
  </si>
  <si>
    <t xml:space="preserve">envelope_subsidy_rate</t>
  </si>
  <si>
    <t xml:space="preserve">upfront grant on the insulation</t>
  </si>
  <si>
    <t xml:space="preserve">living_area_in_m2</t>
  </si>
  <si>
    <t xml:space="preserve">living area the caps are measured per m2 of</t>
  </si>
  <si>
    <t xml:space="preserve">current_cold_rent_in_euro_per_m2_month</t>
  </si>
  <si>
    <t xml:space="preserve">above the low-rent threshold, so the high cap tier applies</t>
  </si>
  <si>
    <t xml:space="preserve">horizon_in_years</t>
  </si>
  <si>
    <t xml:space="preserve">observation period</t>
  </si>
  <si>
    <t xml:space="preserve">interest_rate</t>
  </si>
  <si>
    <t xml:space="preserve">discount rate</t>
  </si>
  <si>
    <t xml:space="preserve">levy_rate_per_year</t>
  </si>
  <si>
    <t xml:space="preserve">§559 BGB rate (allocation_DE_2024.json)</t>
  </si>
  <si>
    <t xml:space="preserve">heating_levy_rate_per_year</t>
  </si>
  <si>
    <t xml:space="preserve">§559e BGB rate for heating measures (allocation_DE_2024.json)</t>
  </si>
  <si>
    <t xml:space="preserve">cap_in_euro_per_m2_per_month</t>
  </si>
  <si>
    <t xml:space="preserve">§559 Abs. 3a cap above the low-rent threshold</t>
  </si>
  <si>
    <t xml:space="preserve">heating_cap_in_euro_per_m2_per_month</t>
  </si>
  <si>
    <t xml:space="preserve">§559e cap on the heating-attributable increase</t>
  </si>
  <si>
    <t xml:space="preserve">cap_low_rent_threshold_in_euro_per_m2</t>
  </si>
  <si>
    <t xml:space="preserve">below this cold rent the 2.00 EUR cap tier would apply</t>
  </si>
  <si>
    <t xml:space="preserve">months_per_year</t>
  </si>
  <si>
    <t xml:space="preserve">the caps are stated per month, the levy is annual</t>
  </si>
  <si>
    <t xml:space="preserve">EXPECTED</t>
  </si>
  <si>
    <t xml:space="preserve">abs_tol</t>
  </si>
  <si>
    <t xml:space="preserve">note</t>
  </si>
  <si>
    <t xml:space="preserve">sign convention: the subsidy rows are §559 Abs. 2 deduction magnitudes (positive); every ledger figure below follows cost positive, revenue negative (§3.9)</t>
  </si>
  <si>
    <t xml:space="preserve">subsidy_deduction_heatpump_in_euro</t>
  </si>
  <si>
    <t xml:space="preserve">grant deducted from the §559e basis (§559 Abs. 2)</t>
  </si>
  <si>
    <t xml:space="preserve">subsidy_deduction_wallinsulation_in_euro</t>
  </si>
  <si>
    <t xml:space="preserve">grant deducted from the §559 basis</t>
  </si>
  <si>
    <t xml:space="preserve">heating_levy_basis_in_euro</t>
  </si>
  <si>
    <t xml:space="preserve">no anyway-cost credit in a greenfield package, so no maintenance deduction</t>
  </si>
  <si>
    <t xml:space="preserve">general_levy_basis_in_euro</t>
  </si>
  <si>
    <t xml:space="preserve">heating_cap_in_euro_per_year</t>
  </si>
  <si>
    <t xml:space="preserve">general_cap_in_euro_per_year</t>
  </si>
  <si>
    <t xml:space="preserve">the rent is above cap_low_rent_threshold_in_euro_per_m2, so the 3.00 EUR tier applies</t>
  </si>
  <si>
    <t xml:space="preserve">annual_levy_heating_in_euro</t>
  </si>
  <si>
    <t xml:space="preserve">10 % of 21,000 = 2,100 EUR/a, cut to the §559e cap of 600 EUR/a</t>
  </si>
  <si>
    <t xml:space="preserve">annual_levy_general_in_euro</t>
  </si>
  <si>
    <t xml:space="preserve">8 % of 40,000 = 3,200 EUR/a; the general cap leaves only 3,600-600, and the non-heating leg is reduced first</t>
  </si>
  <si>
    <t xml:space="preserve">annual_levy_total_in_euro</t>
  </si>
  <si>
    <t xml:space="preserve">the whole rent increase, booked as one transfer pair per year</t>
  </si>
  <si>
    <t xml:space="preserve">present_value_factor_sum</t>
  </si>
  <si>
    <t xml:space="preserve">sum of the discount factors of years 1..20</t>
  </si>
  <si>
    <t xml:space="preserve">levy_npv_in_euro</t>
  </si>
  <si>
    <t xml:space="preserve">the levy is a fixed nominal rent increase, never escalated</t>
  </si>
  <si>
    <t xml:space="preserve">tenant_npv_in_euro</t>
  </si>
  <si>
    <t xml:space="preserve">the package has no energy bill and no apportionable operation, so the levy is the tenant's whole position</t>
  </si>
  <si>
    <t xml:space="preserve">landlord_npv_in_euro</t>
  </si>
  <si>
    <t xml:space="preserve">investment net of grants minus the levy received; landlord + tenant = the system NPV (§6.5)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</si>
</sst>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2</v>
      </c>
      <c r="B2" s="1" t="s">
        <v>3</v>
      </c>
    </row>
    <row r="3" customFormat="false" ht="15" hidden="false" customHeight="true" outlineLevel="0" collapsed="false">
      <c r="A3" s="1" t="s">
        <v>4</v>
      </c>
      <c r="B3" s="1" t="s">
        <v>5</v>
      </c>
    </row>
    <row r="4" customFormat="false" ht="15" hidden="false" customHeight="true" outlineLevel="0" collapsed="false">
      <c r="A4" s="1" t="s">
        <v>6</v>
      </c>
      <c r="B4" s="1" t="s">
        <v>7</v>
      </c>
    </row>
    <row r="5" customFormat="false" ht="15" hidden="false" customHeight="true" outlineLevel="0" collapsed="false">
      <c r="A5" s="1" t="s">
        <v>8</v>
      </c>
      <c r="B5" s="1" t="s">
        <v>9</v>
      </c>
    </row>
    <row r="6" customFormat="false" ht="15" hidden="false" customHeight="true" outlineLevel="0" collapsed="false">
      <c r="A6" s="1" t="s">
        <v>10</v>
      </c>
      <c r="C6" s="1" t="s">
        <v>11</v>
      </c>
    </row>
    <row r="7" customFormat="false" ht="15" hidden="false" customHeight="true" outlineLevel="0" collapsed="false">
      <c r="A7" s="1" t="s">
        <v>12</v>
      </c>
    </row>
    <row r="8" customFormat="false" ht="15" hidden="false" customHeight="true" outlineLevel="0" collapsed="false">
      <c r="A8" s="1" t="s">
        <v>13</v>
      </c>
    </row>
    <row r="10" customFormat="false" ht="15" hidden="false" customHeight="true" outlineLevel="0" collapsed="false">
      <c r="A10" s="1" t="s">
        <v>14</v>
      </c>
      <c r="B10" s="1" t="s">
        <v>1</v>
      </c>
      <c r="C10" s="1" t="s">
        <v>15</v>
      </c>
    </row>
    <row r="11" customFormat="false" ht="15" hidden="false" customHeight="true" outlineLevel="0" collapsed="false">
      <c r="A11" s="1" t="s">
        <v>16</v>
      </c>
      <c r="B11" s="1" t="n">
        <v>30000</v>
      </c>
      <c r="C11" s="1" t="s">
        <v>17</v>
      </c>
    </row>
    <row r="12" customFormat="false" ht="15" hidden="false" customHeight="true" outlineLevel="0" collapsed="false">
      <c r="A12" s="1" t="s">
        <v>18</v>
      </c>
      <c r="B12" s="1" t="n">
        <v>50000</v>
      </c>
      <c r="C12" s="1" t="s">
        <v>19</v>
      </c>
    </row>
    <row r="13" customFormat="false" ht="15" hidden="false" customHeight="true" outlineLevel="0" collapsed="false">
      <c r="A13" s="1" t="s">
        <v>20</v>
      </c>
      <c r="B13" s="1" t="n">
        <v>0.3</v>
      </c>
      <c r="C13" s="1" t="s">
        <v>21</v>
      </c>
    </row>
    <row r="14" customFormat="false" ht="15" hidden="false" customHeight="true" outlineLevel="0" collapsed="false">
      <c r="A14" s="1" t="s">
        <v>22</v>
      </c>
      <c r="B14" s="1" t="n">
        <v>0.2</v>
      </c>
      <c r="C14" s="1" t="s">
        <v>23</v>
      </c>
    </row>
    <row r="15" customFormat="false" ht="15" hidden="false" customHeight="true" outlineLevel="0" collapsed="false">
      <c r="A15" s="1" t="s">
        <v>24</v>
      </c>
      <c r="B15" s="1" t="n">
        <v>100</v>
      </c>
      <c r="C15" s="1" t="s">
        <v>25</v>
      </c>
    </row>
    <row r="16" customFormat="false" ht="15" hidden="false" customHeight="true" outlineLevel="0" collapsed="false">
      <c r="A16" s="1" t="s">
        <v>26</v>
      </c>
      <c r="B16" s="1" t="n">
        <v>9</v>
      </c>
      <c r="C16" s="1" t="s">
        <v>27</v>
      </c>
    </row>
    <row r="17" customFormat="false" ht="15" hidden="false" customHeight="true" outlineLevel="0" collapsed="false">
      <c r="A17" s="1" t="s">
        <v>28</v>
      </c>
      <c r="B17" s="1" t="n">
        <v>20</v>
      </c>
      <c r="C17" s="1" t="s">
        <v>29</v>
      </c>
    </row>
    <row r="18" customFormat="false" ht="15" hidden="false" customHeight="true" outlineLevel="0" collapsed="false">
      <c r="A18" s="1" t="s">
        <v>30</v>
      </c>
      <c r="B18" s="1" t="n">
        <v>0.03</v>
      </c>
      <c r="C18" s="1" t="s">
        <v>31</v>
      </c>
    </row>
    <row r="19" customFormat="false" ht="15" hidden="false" customHeight="true" outlineLevel="0" collapsed="false">
      <c r="A19" s="1" t="s">
        <v>32</v>
      </c>
      <c r="B19" s="1" t="n">
        <v>0.08</v>
      </c>
      <c r="C19" s="1" t="s">
        <v>33</v>
      </c>
    </row>
    <row r="20" customFormat="false" ht="15" hidden="false" customHeight="true" outlineLevel="0" collapsed="false">
      <c r="A20" s="1" t="s">
        <v>34</v>
      </c>
      <c r="B20" s="1" t="n">
        <v>0.1</v>
      </c>
      <c r="C20" s="1" t="s">
        <v>35</v>
      </c>
    </row>
    <row r="21" customFormat="false" ht="15" hidden="false" customHeight="true" outlineLevel="0" collapsed="false">
      <c r="A21" s="1" t="s">
        <v>36</v>
      </c>
      <c r="B21" s="1" t="n">
        <v>3</v>
      </c>
      <c r="C21" s="1" t="s">
        <v>37</v>
      </c>
    </row>
    <row r="22" customFormat="false" ht="15" hidden="false" customHeight="true" outlineLevel="0" collapsed="false">
      <c r="A22" s="1" t="s">
        <v>38</v>
      </c>
      <c r="B22" s="1" t="n">
        <v>0.5</v>
      </c>
      <c r="C22" s="1" t="s">
        <v>39</v>
      </c>
    </row>
    <row r="23" customFormat="false" ht="15" hidden="false" customHeight="true" outlineLevel="0" collapsed="false">
      <c r="A23" s="1" t="s">
        <v>40</v>
      </c>
      <c r="B23" s="1" t="n">
        <v>7</v>
      </c>
      <c r="C23" s="1" t="s">
        <v>41</v>
      </c>
    </row>
    <row r="24" customFormat="false" ht="15" hidden="false" customHeight="true" outlineLevel="0" collapsed="false">
      <c r="A24" s="1" t="s">
        <v>42</v>
      </c>
      <c r="B24" s="1" t="n">
        <v>12</v>
      </c>
      <c r="C24" s="1" t="s">
        <v>43</v>
      </c>
    </row>
    <row r="26" customFormat="false" ht="15" hidden="false" customHeight="true" outlineLevel="0" collapsed="false">
      <c r="A26" s="1" t="s">
        <v>44</v>
      </c>
      <c r="B26" s="1" t="s">
        <v>1</v>
      </c>
      <c r="C26" s="1" t="s">
        <v>45</v>
      </c>
      <c r="D26" s="1" t="s">
        <v>46</v>
      </c>
      <c r="E26" s="0" t="s">
        <v>47</v>
      </c>
    </row>
    <row r="27" customFormat="false" ht="15" hidden="false" customHeight="true" outlineLevel="0" collapsed="false">
      <c r="A27" s="1" t="s">
        <v>48</v>
      </c>
      <c r="B27" s="1" t="n">
        <f aca="false">heating_investment_in_euro*heating_subsidy_rate</f>
        <v>9000</v>
      </c>
      <c r="C27" s="1" t="n">
        <v>0.01</v>
      </c>
      <c r="D27" s="1" t="s">
        <v>49</v>
      </c>
    </row>
    <row r="28" customFormat="false" ht="15" hidden="false" customHeight="true" outlineLevel="0" collapsed="false">
      <c r="A28" s="1" t="s">
        <v>50</v>
      </c>
      <c r="B28" s="1" t="n">
        <f aca="false">envelope_investment_in_euro*envelope_subsidy_rate</f>
        <v>10000</v>
      </c>
      <c r="C28" s="1" t="n">
        <v>0.01</v>
      </c>
      <c r="D28" s="1" t="s">
        <v>51</v>
      </c>
    </row>
    <row r="29" customFormat="false" ht="15" hidden="false" customHeight="true" outlineLevel="0" collapsed="false">
      <c r="A29" s="1" t="s">
        <v>52</v>
      </c>
      <c r="B29" s="1" t="n">
        <f aca="false">heating_investment_in_euro-subsidy_deduction_heatpump_in_euro</f>
        <v>21000</v>
      </c>
      <c r="C29" s="1" t="n">
        <v>0.01</v>
      </c>
      <c r="D29" s="1" t="s">
        <v>53</v>
      </c>
    </row>
    <row r="30" customFormat="false" ht="15" hidden="false" customHeight="true" outlineLevel="0" collapsed="false">
      <c r="A30" s="1" t="s">
        <v>54</v>
      </c>
      <c r="B30" s="1" t="n">
        <f aca="false">envelope_investment_in_euro-subsidy_deduction_wallinsulation_in_euro</f>
        <v>40000</v>
      </c>
      <c r="C30" s="1" t="n">
        <v>0.01</v>
      </c>
    </row>
    <row r="31" customFormat="false" ht="15" hidden="false" customHeight="true" outlineLevel="0" collapsed="false">
      <c r="A31" s="1" t="s">
        <v>55</v>
      </c>
      <c r="B31" s="1" t="n">
        <f aca="false">heating_cap_in_euro_per_m2_per_month*months_per_year*living_area_in_m2</f>
        <v>600</v>
      </c>
      <c r="C31" s="1" t="n">
        <v>0.01</v>
      </c>
    </row>
    <row r="32" customFormat="false" ht="15" hidden="false" customHeight="true" outlineLevel="0" collapsed="false">
      <c r="A32" s="1" t="s">
        <v>56</v>
      </c>
      <c r="B32" s="1" t="n">
        <f aca="false">cap_in_euro_per_m2_per_month*months_per_year*living_area_in_m2</f>
        <v>3600</v>
      </c>
      <c r="C32" s="1" t="n">
        <v>0.01</v>
      </c>
      <c r="D32" s="1" t="s">
        <v>57</v>
      </c>
    </row>
    <row r="33" customFormat="false" ht="15" hidden="false" customHeight="true" outlineLevel="0" collapsed="false">
      <c r="A33" s="1" t="s">
        <v>58</v>
      </c>
      <c r="B33" s="1" t="n">
        <f aca="false">MIN(heating_levy_basis_in_euro*heating_levy_rate_per_year,heating_cap_in_euro_per_year)</f>
        <v>600</v>
      </c>
      <c r="C33" s="1" t="n">
        <v>0.01</v>
      </c>
      <c r="D33" s="1" t="s">
        <v>59</v>
      </c>
    </row>
    <row r="34" customFormat="false" ht="15" hidden="false" customHeight="true" outlineLevel="0" collapsed="false">
      <c r="A34" s="1" t="s">
        <v>60</v>
      </c>
      <c r="B34" s="1" t="n">
        <f aca="false">MIN(general_levy_basis_in_euro*levy_rate_per_year,general_cap_in_euro_per_year-annual_levy_heating_in_euro)</f>
        <v>3000</v>
      </c>
      <c r="C34" s="1" t="n">
        <v>0.01</v>
      </c>
      <c r="D34" s="1" t="s">
        <v>61</v>
      </c>
    </row>
    <row r="35" customFormat="false" ht="15" hidden="false" customHeight="true" outlineLevel="0" collapsed="false">
      <c r="A35" s="1" t="s">
        <v>62</v>
      </c>
      <c r="B35" s="1" t="n">
        <f aca="false">annual_levy_heating_in_euro+annual_levy_general_in_euro</f>
        <v>3600</v>
      </c>
      <c r="C35" s="1" t="n">
        <v>0.01</v>
      </c>
      <c r="D35" s="1" t="s">
        <v>63</v>
      </c>
    </row>
    <row r="36" customFormat="false" ht="15" hidden="false" customHeight="true" outlineLevel="0" collapsed="false">
      <c r="A36" s="1" t="s">
        <v>64</v>
      </c>
      <c r="B36" s="1" t="n">
        <f aca="false">(1-(1+interest_rate)^-horizon_in_years)/interest_rate</f>
        <v>14.8774748604555</v>
      </c>
      <c r="C36" s="1" t="n">
        <v>1E-006</v>
      </c>
      <c r="D36" s="1" t="s">
        <v>65</v>
      </c>
    </row>
    <row r="37" customFormat="false" ht="15" hidden="false" customHeight="true" outlineLevel="0" collapsed="false">
      <c r="A37" s="1" t="s">
        <v>66</v>
      </c>
      <c r="B37" s="1" t="n">
        <f aca="false">annual_levy_total_in_euro*present_value_factor_sum</f>
        <v>53558.9094976399</v>
      </c>
      <c r="C37" s="1" t="n">
        <v>0.01</v>
      </c>
      <c r="D37" s="1" t="s">
        <v>67</v>
      </c>
    </row>
    <row r="38" customFormat="false" ht="15" hidden="false" customHeight="true" outlineLevel="0" collapsed="false">
      <c r="A38" s="1" t="s">
        <v>68</v>
      </c>
      <c r="B38" s="1" t="n">
        <f aca="false">levy_npv_in_euro</f>
        <v>53558.9094976399</v>
      </c>
      <c r="C38" s="1" t="n">
        <v>0.01</v>
      </c>
      <c r="D38" s="1" t="s">
        <v>69</v>
      </c>
    </row>
    <row r="39" customFormat="false" ht="15" hidden="false" customHeight="true" outlineLevel="0" collapsed="false">
      <c r="A39" s="1" t="s">
        <v>70</v>
      </c>
      <c r="B39" s="1" t="n">
        <f aca="false">heating_investment_in_euro+envelope_investment_in_euro-subsidy_deduction_heatpump_in_euro-subsidy_deduction_wallinsulation_in_euro-levy_npv_in_euro</f>
        <v>7441.09050236014</v>
      </c>
      <c r="C39" s="1" t="n">
        <v>0.01</v>
      </c>
      <c r="D39" s="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2026-08-14T16:27:07Z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