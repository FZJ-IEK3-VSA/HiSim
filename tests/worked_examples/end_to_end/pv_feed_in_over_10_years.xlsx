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al_cost_year_1_in_euro" vbProcedure="false">Example!$B$38</definedName>
    <definedName function="false" hidden="false" name="annuity_factor" vbProcedure="false">Example!$B$36</definedName>
    <definedName function="false" hidden="false" name="eac_in_euro" vbProcedure="false">Example!$B$37</definedName>
    <definedName function="false" hidden="false" name="electricity_price_in_euro_per_kwh" vbProcedure="false">Example!$B$22</definedName>
    <definedName function="false" hidden="false" name="energy_bought_in_kwh" vbProcedure="false">Example!$B$20</definedName>
    <definedName function="false" hidden="false" name="energy_price_escalation_rate" vbProcedure="false">Example!$B$18</definedName>
    <definedName function="false" hidden="false" name="energy_sold_in_kwh" vbProcedure="false">Example!$B$21</definedName>
    <definedName function="false" hidden="false" name="feed_in_escalation_rate" vbProcedure="false">Example!$B$19</definedName>
    <definedName function="false" hidden="false" name="feed_in_rate_in_euro_per_kwh" vbProcedure="false">Example!$B$24</definedName>
    <definedName function="false" hidden="false" name="general_price_escalation_rate" vbProcedure="false">Example!$B$16</definedName>
    <definedName function="false" hidden="false" name="horizon_in_years" vbProcedure="false">Example!$B$14</definedName>
    <definedName function="false" hidden="false" name="interest_rate" vbProcedure="false">Example!$B$15</definedName>
    <definedName function="false" hidden="false" name="investment_in_euro" vbProcedure="false">Example!$B$11</definedName>
    <definedName function="false" hidden="false" name="investment_price_escalation_rate" vbProcedure="false">Example!$B$17</definedName>
    <definedName function="false" hidden="false" name="lifetime_in_years" vbProcedure="false">Example!$B$12</definedName>
    <definedName function="false" hidden="false" name="maintenance_rate" vbProcedure="false">Example!$B$13</definedName>
    <definedName function="false" hidden="false" name="nominal_feed_in_revenue_year_1_in_euro" vbProcedure="false">Example!$B$29</definedName>
    <definedName function="false" hidden="false" name="nominal_maintenance_year_1_in_euro" vbProcedure="false">Example!$B$28</definedName>
    <definedName function="false" hidden="false" name="nominal_residual_value_year_10_in_euro" vbProcedure="false">Example!$B$33</definedName>
    <definedName function="false" hidden="false" name="npv_feed_in_revenue_in_euro" vbProcedure="false">Example!$B$32</definedName>
    <definedName function="false" hidden="false" name="npv_investment_in_euro" vbProcedure="false">Example!$B$30</definedName>
    <definedName function="false" hidden="false" name="npv_maintenance_in_euro" vbProcedure="false">Example!$B$31</definedName>
    <definedName function="false" hidden="false" name="npv_residual_value_in_euro" vbProcedure="false">Example!$B$34</definedName>
    <definedName function="false" hidden="false" name="present_value_factor_sum" vbProcedure="false">Example!$B$27</definedName>
    <definedName function="false" hidden="false" name="standing_charge_in_euro_per_year" vbProcedure="false">Example!$B$23</definedName>
    <definedName function="false" hidden="false" name="total_npv_in_euro" vbProcedure="false">Example!$B$35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<sst xmlns="http://schemas.openxmlformats.org/spreadsheetml/2006/main" count="67" uniqueCount="63">
  <si>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METADATA</t>
  </si>
  <si>
    <t xml:space="preserve">value</t>
  </si>
  <si>
    <t xml:space="preserve">name</t>
  </si>
  <si>
    <t xml:space="preserve">pv_feed_in_over_10_years</t>
  </si>
  <si>
    <t xml:space="preserve">spec_section</t>
  </si>
  <si>
    <t xml:space="preserve">3.6</t>
  </si>
  <si>
    <t xml:space="preserve">computed_by</t>
  </si>
  <si>
    <t xml:space="preserve">Claude draft + LibreOffice recalculation, 2026-08-12</t>
  </si>
  <si>
    <t xml:space="preserve">description</t>
  </si>
  <si>
    <t xml:space="preserve">An 8,000 EUR photovoltaic system with a 25-year service life evaluated over 10 years at 3 %. It feeds 3,000 kWh per year into the grid at a nominally fixed 0.08 EUR/kWh tariff and costs 1 % of the investment in maintenance. Because only 10 of the 25 years are used, 15/25 of the investment is credited back as a residual value at the end of the horizon.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</si>
  <si>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</si>
  <si>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</si>
  <si>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</si>
  <si>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</si>
  <si>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</si>
  <si>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</si>
  <si>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investment_in_euro</t>
  </si>
  <si>
    <t xml:space="preserve">device cost override</t>
  </si>
  <si>
    <t xml:space="preserve">lifetime_in_years</t>
  </si>
  <si>
    <t xml:space="preserve">service life override</t>
  </si>
  <si>
    <t xml:space="preserve">maintenance_rate</t>
  </si>
  <si>
    <t xml:space="preserve">annual maintenance as a share of the investment</t>
  </si>
  <si>
    <t xml:space="preserve">horizon_in_years</t>
  </si>
  <si>
    <t xml:space="preserve">observation period</t>
  </si>
  <si>
    <t xml:space="preserve">interest_rate</t>
  </si>
  <si>
    <t xml:space="preserve">discount rate</t>
  </si>
  <si>
    <t xml:space="preserve">general_price_escalation_rate</t>
  </si>
  <si>
    <t xml:space="preserve">no escalation</t>
  </si>
  <si>
    <t xml:space="preserve">investment_price_escalation_rate</t>
  </si>
  <si>
    <t xml:space="preserve">energy_price_escalation_rate</t>
  </si>
  <si>
    <t xml:space="preserve">feed_in_escalation_rate</t>
  </si>
  <si>
    <t xml:space="preserve">EEG-style tariffs are nominally fixed</t>
  </si>
  <si>
    <t xml:space="preserve">energy_bought_in_kwh</t>
  </si>
  <si>
    <t xml:space="preserve">the meter only exports in this example</t>
  </si>
  <si>
    <t xml:space="preserve">energy_sold_in_kwh</t>
  </si>
  <si>
    <t xml:space="preserve">annual feed-in</t>
  </si>
  <si>
    <t xml:space="preserve">electricity_price_in_euro_per_kwh</t>
  </si>
  <si>
    <t xml:space="preserve">no purchase, so the purchase price is irrelevant</t>
  </si>
  <si>
    <t xml:space="preserve">standing_charge_in_euro_per_year</t>
  </si>
  <si>
    <t xml:space="preserve">no standing charge in this example</t>
  </si>
  <si>
    <t xml:space="preserve">feed_in_rate_in_euro_per_kwh</t>
  </si>
  <si>
    <t xml:space="preserve">fixed feed-in tariff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</si>
  <si>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</si>
  <si>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</si>
  <si>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</si>
  <si>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</si>
  <si>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present_value_factor_sum</t>
  </si>
  <si>
    <t xml:space="preserve">sum of the discount factors of years 1..10</t>
  </si>
  <si>
    <t xml:space="preserve">nominal_maintenance_year_1_in_euro</t>
  </si>
  <si>
    <t xml:space="preserve">year 0 is the investment year and is undiscounted; operating flows fall in years 1..T (§3.6), so nominal_*_year_1 names the year-1 timeline entry - exact also under escalation, where every year's nominal figure differs</t>
  </si>
  <si>
    <t xml:space="preserve">nominal_feed_in_revenue_year_1_in_euro</t>
  </si>
  <si>
    <t xml:space="preserve">negative under the cost-positive sign convention</t>
  </si>
  <si>
    <t xml:space="preserve">npv_investment_in_euro</t>
  </si>
  <si>
    <t xml:space="preserve">npv_maintenance_in_euro</t>
  </si>
  <si>
    <t xml:space="preserve">npv_feed_in_revenue_in_euro</t>
  </si>
  <si>
    <t xml:space="preserve">nominal_residual_value_year_10_in_euro</t>
  </si>
  <si>
    <t xml:space="preserve">unused share of the service life, credited at the end of the horizon</t>
  </si>
  <si>
    <t xml:space="preserve">npv_residual_value_in_euro</t>
  </si>
  <si>
    <t xml:space="preserve">total_npv_in_euro</t>
  </si>
  <si>
    <t xml:space="preserve">annuity_factor</t>
  </si>
  <si>
    <t xml:space="preserve">eac_in_euro</t>
  </si>
  <si>
    <t xml:space="preserve">annual_cost_year_1_in_euro</t>
  </si>
  <si>
    <t xml:space="preserve">nominal year-1 balance: maintenance minus feed-in revenue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</si>
</sst>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8000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25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n">
        <v>0.01</v>
      </c>
      <c r="C13" s="3" t="s">
        <v>21</v>
      </c>
    </row>
    <row r="14" customFormat="false" ht="15" hidden="false" customHeight="true" outlineLevel="0" collapsed="false">
      <c r="A14" s="1" t="s">
        <v>22</v>
      </c>
      <c r="B14" s="1" t="n">
        <v>10</v>
      </c>
      <c r="C14" s="3" t="s">
        <v>23</v>
      </c>
    </row>
    <row r="15" customFormat="false" ht="15" hidden="false" customHeight="true" outlineLevel="0" collapsed="false">
      <c r="A15" s="1" t="s">
        <v>24</v>
      </c>
      <c r="B15" s="1" t="n">
        <v>0.03</v>
      </c>
      <c r="C15" s="3" t="s">
        <v>25</v>
      </c>
    </row>
    <row r="16" customFormat="false" ht="15" hidden="false" customHeight="true" outlineLevel="0" collapsed="false">
      <c r="A16" s="1" t="s">
        <v>26</v>
      </c>
      <c r="B16" s="1" t="n">
        <v>0</v>
      </c>
      <c r="C16" s="3" t="s">
        <v>27</v>
      </c>
    </row>
    <row r="17" customFormat="false" ht="15" hidden="false" customHeight="true" outlineLevel="0" collapsed="false">
      <c r="A17" s="1" t="s">
        <v>28</v>
      </c>
      <c r="B17" s="1" t="n">
        <v>0</v>
      </c>
      <c r="C17" s="3" t="s">
        <v>27</v>
      </c>
    </row>
    <row r="18" customFormat="false" ht="15" hidden="false" customHeight="true" outlineLevel="0" collapsed="false">
      <c r="A18" s="1" t="s">
        <v>29</v>
      </c>
      <c r="B18" s="1" t="n">
        <v>0</v>
      </c>
      <c r="C18" s="3" t="s">
        <v>27</v>
      </c>
    </row>
    <row r="19" customFormat="false" ht="15" hidden="false" customHeight="true" outlineLevel="0" collapsed="false">
      <c r="A19" s="1" t="s">
        <v>30</v>
      </c>
      <c r="B19" s="1" t="n">
        <v>0</v>
      </c>
      <c r="C19" s="3" t="s">
        <v>31</v>
      </c>
    </row>
    <row r="20" customFormat="false" ht="15" hidden="false" customHeight="true" outlineLevel="0" collapsed="false">
      <c r="A20" s="1" t="s">
        <v>32</v>
      </c>
      <c r="B20" s="1" t="n">
        <v>0</v>
      </c>
      <c r="C20" s="3" t="s">
        <v>33</v>
      </c>
    </row>
    <row r="21" customFormat="false" ht="15" hidden="false" customHeight="true" outlineLevel="0" collapsed="false">
      <c r="A21" s="1" t="s">
        <v>34</v>
      </c>
      <c r="B21" s="1" t="n">
        <v>3000</v>
      </c>
      <c r="C21" s="3" t="s">
        <v>35</v>
      </c>
    </row>
    <row r="22" customFormat="false" ht="15" hidden="false" customHeight="true" outlineLevel="0" collapsed="false">
      <c r="A22" s="1" t="s">
        <v>36</v>
      </c>
      <c r="B22" s="1" t="n">
        <v>0</v>
      </c>
      <c r="C22" s="3" t="s">
        <v>37</v>
      </c>
    </row>
    <row r="23" customFormat="false" ht="15" hidden="false" customHeight="true" outlineLevel="0" collapsed="false">
      <c r="A23" s="1" t="s">
        <v>38</v>
      </c>
      <c r="B23" s="1" t="n">
        <v>0</v>
      </c>
      <c r="C23" s="3" t="s">
        <v>39</v>
      </c>
    </row>
    <row r="24" customFormat="false" ht="15" hidden="false" customHeight="true" outlineLevel="0" collapsed="false">
      <c r="A24" s="1" t="s">
        <v>40</v>
      </c>
      <c r="B24" s="1" t="n">
        <v>0.08</v>
      </c>
      <c r="C24" s="3" t="s">
        <v>41</v>
      </c>
    </row>
    <row r="25" customFormat="false" ht="15" hidden="false" customHeight="true" outlineLevel="0" collapsed="false">
      <c r="C25" s="3"/>
    </row>
    <row r="26" customFormat="false" ht="15" hidden="false" customHeight="true" outlineLevel="0" collapsed="false">
      <c r="A26" s="2" t="s">
        <v>42</v>
      </c>
      <c r="B26" s="2" t="s">
        <v>1</v>
      </c>
      <c r="C26" s="4" t="s">
        <v>43</v>
      </c>
      <c r="D26" s="2" t="s">
        <v>44</v>
      </c>
      <c r="E26" s="1" t="s">
        <v>45</v>
      </c>
    </row>
    <row r="27" customFormat="false" ht="15" hidden="false" customHeight="true" outlineLevel="0" collapsed="false">
      <c r="A27" s="1" t="s">
        <v>46</v>
      </c>
      <c r="B27" s="1" t="n">
        <f aca="false">(1-(1+interest_rate)^-horizon_in_years)/interest_rate</f>
        <v>8.53020283677584</v>
      </c>
      <c r="C27" s="3" t="n">
        <v>1E-006</v>
      </c>
      <c r="D27" s="1" t="s">
        <v>47</v>
      </c>
    </row>
    <row r="28" customFormat="false" ht="15" hidden="false" customHeight="true" outlineLevel="0" collapsed="false">
      <c r="A28" s="1" t="s">
        <v>48</v>
      </c>
      <c r="B28" s="1" t="n">
        <f aca="false">investment_in_euro*maintenance_rate</f>
        <v>80</v>
      </c>
      <c r="C28" s="3" t="n">
        <v>0.01</v>
      </c>
      <c r="D28" s="1" t="s">
        <v>49</v>
      </c>
    </row>
    <row r="29" customFormat="false" ht="15" hidden="false" customHeight="true" outlineLevel="0" collapsed="false">
      <c r="A29" s="1" t="s">
        <v>50</v>
      </c>
      <c r="B29" s="1" t="n">
        <f aca="false">-energy_sold_in_kwh*feed_in_rate_in_euro_per_kwh</f>
        <v>-240</v>
      </c>
      <c r="C29" s="3" t="n">
        <v>0.01</v>
      </c>
      <c r="D29" s="1" t="s">
        <v>51</v>
      </c>
    </row>
    <row r="30" customFormat="false" ht="15" hidden="false" customHeight="true" outlineLevel="0" collapsed="false">
      <c r="A30" s="1" t="s">
        <v>52</v>
      </c>
      <c r="B30" s="1" t="n">
        <f aca="false">investment_in_euro</f>
        <v>8000</v>
      </c>
      <c r="C30" s="3" t="n">
        <v>0.01</v>
      </c>
    </row>
    <row r="31" customFormat="false" ht="15" hidden="false" customHeight="true" outlineLevel="0" collapsed="false">
      <c r="A31" s="1" t="s">
        <v>53</v>
      </c>
      <c r="B31" s="1" t="n">
        <f aca="false">nominal_maintenance_year_1_in_euro*present_value_factor_sum</f>
        <v>682.416226942067</v>
      </c>
      <c r="C31" s="3" t="n">
        <v>0.01</v>
      </c>
    </row>
    <row r="32" customFormat="false" ht="15" hidden="false" customHeight="true" outlineLevel="0" collapsed="false">
      <c r="A32" s="1" t="s">
        <v>54</v>
      </c>
      <c r="B32" s="1" t="n">
        <f aca="false">nominal_feed_in_revenue_year_1_in_euro*present_value_factor_sum</f>
        <v>-2047.2486808262</v>
      </c>
      <c r="C32" s="3" t="n">
        <v>0.01</v>
      </c>
    </row>
    <row r="33" customFormat="false" ht="15" hidden="false" customHeight="true" outlineLevel="0" collapsed="false">
      <c r="A33" s="1" t="s">
        <v>55</v>
      </c>
      <c r="B33" s="1" t="n">
        <f aca="false">-investment_in_euro*(lifetime_in_years-horizon_in_years)/lifetime_in_years</f>
        <v>-4800</v>
      </c>
      <c r="C33" s="3" t="n">
        <v>0.01</v>
      </c>
      <c r="D33" s="1" t="s">
        <v>56</v>
      </c>
    </row>
    <row r="34" customFormat="false" ht="15" hidden="false" customHeight="true" outlineLevel="0" collapsed="false">
      <c r="A34" s="1" t="s">
        <v>57</v>
      </c>
      <c r="B34" s="1" t="n">
        <f aca="false">nominal_residual_value_year_10_in_euro/(1+interest_rate)^horizon_in_years</f>
        <v>-3571.65079150428</v>
      </c>
      <c r="C34" s="3" t="n">
        <v>0.01</v>
      </c>
    </row>
    <row r="35" customFormat="false" ht="15" hidden="false" customHeight="true" outlineLevel="0" collapsed="false">
      <c r="A35" s="1" t="s">
        <v>58</v>
      </c>
      <c r="B35" s="1" t="n">
        <f aca="false">npv_investment_in_euro+npv_maintenance_in_euro+npv_feed_in_revenue_in_euro+npv_residual_value_in_euro</f>
        <v>3063.51675461159</v>
      </c>
      <c r="C35" s="3" t="n">
        <v>0.01</v>
      </c>
    </row>
    <row r="36" customFormat="false" ht="15" hidden="false" customHeight="true" outlineLevel="0" collapsed="false">
      <c r="A36" s="1" t="s">
        <v>59</v>
      </c>
      <c r="B36" s="1" t="n">
        <f aca="false">interest_rate*(1+interest_rate)^horizon_in_years/((1+interest_rate)^horizon_in_years-1)</f>
        <v>0.11723050660516</v>
      </c>
      <c r="C36" s="3" t="n">
        <v>1E-006</v>
      </c>
    </row>
    <row r="37" customFormat="false" ht="15" hidden="false" customHeight="true" outlineLevel="0" collapsed="false">
      <c r="A37" s="1" t="s">
        <v>60</v>
      </c>
      <c r="B37" s="1" t="n">
        <f aca="false">total_npv_in_euro*annuity_factor</f>
        <v>359.13762113651</v>
      </c>
      <c r="C37" s="3" t="n">
        <v>0.01</v>
      </c>
    </row>
    <row r="38" customFormat="false" ht="15" hidden="false" customHeight="true" outlineLevel="0" collapsed="false">
      <c r="A38" s="1" t="s">
        <v>61</v>
      </c>
      <c r="B38" s="1" t="n">
        <f aca="false">nominal_maintenance_year_1_in_euro+nominal_feed_in_revenue_year_1_in_euro</f>
        <v>-160</v>
      </c>
      <c r="C38" s="3" t="n">
        <v>0.01</v>
      </c>
      <c r="D38" s="1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2026-09-08T10:07:52Z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