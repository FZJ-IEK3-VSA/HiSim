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ample" sheetId="1" state="visible" r:id="rId3"/>
  </sheets>
  <definedNames>
    <definedName function="false" hidden="false" name="annuity_factor" vbProcedure="false">Example!$B$27</definedName>
    <definedName function="false" hidden="false" name="eac_in_euro" vbProcedure="false">Example!$B$28</definedName>
    <definedName function="false" hidden="false" name="energy_price_escalation_rate" vbProcedure="false">Example!$B$18</definedName>
    <definedName function="false" hidden="false" name="general_price_escalation_rate" vbProcedure="false">Example!$B$16</definedName>
    <definedName function="false" hidden="false" name="horizon_in_years" vbProcedure="false">Example!$B$14</definedName>
    <definedName function="false" hidden="false" name="interest_rate" vbProcedure="false">Example!$B$15</definedName>
    <definedName function="false" hidden="false" name="investment_in_euro" vbProcedure="false">Example!$B$11</definedName>
    <definedName function="false" hidden="false" name="investment_price_escalation_rate" vbProcedure="false">Example!$B$17</definedName>
    <definedName function="false" hidden="false" name="lifetime_in_years" vbProcedure="false">Example!$B$12</definedName>
    <definedName function="false" hidden="false" name="maintenance_rate" vbProcedure="false">Example!$B$13</definedName>
    <definedName function="false" hidden="false" name="nominal_replacement_year_8_in_euro" vbProcedure="false">Example!$B$21</definedName>
    <definedName function="false" hidden="false" name="nominal_residual_value_year_12_in_euro" vbProcedure="false">Example!$B$23</definedName>
    <definedName function="false" hidden="false" name="npv_investment_in_euro" vbProcedure="false">Example!$B$25</definedName>
    <definedName function="false" hidden="false" name="npv_replacement_in_euro" vbProcedure="false">Example!$B$22</definedName>
    <definedName function="false" hidden="false" name="npv_residual_value_in_euro" vbProcedure="false">Example!$B$24</definedName>
    <definedName function="false" hidden="false" name="total_npv_in_euro" vbProcedure="false">Example!$B$26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<sst xmlns="http://schemas.openxmlformats.org/spreadsheetml/2006/main" count="48" uniqueCount="46">
  <si>
    <t xml:space="preserve">METADATA</t>
  </si>
  <si>
    <t xml:space="preserve">value</t>
  </si>
  <si>
    <t xml:space="preserve">name</t>
  </si>
  <si>
    <t xml:space="preserve">replacement_and_residual_value</t>
  </si>
  <si>
    <t xml:space="preserve">spec_section</t>
  </si>
  <si>
    <t xml:space="preserve">3.6</t>
  </si>
  <si>
    <t xml:space="preserve">computed_by</t>
  </si>
  <si>
    <t xml:space="preserve">Claude draft + LibreOffice recalculation, 2026-08-12</t>
  </si>
  <si>
    <t xml:space="preserve">description</t>
  </si>
  <si>
    <t xml:space="preserve">A 10,000 EUR device with an 8-year service life over a 12-year horizon at 3 % interest, with investment prices escalating at 2 % per year. The device is replaced once in year 8 at the escalated price; at the end of the horizon 4 of the replacement's 8 years are still unused, so half of the escalated price is credited back as residual value. The residual is the VDI 2067-1 / DIN EN 15459-1 book value: the last installation's price escalated to its own installation year - never to the horizon - written down straight-line over the service life and discounted from year T. It is deliberately not a market-value estimate.</t>
  </si>
  <si>
    <t xml:space="preserve">reviewed_by</t>
  </si>
  <si>
    <t xml:space="preserve">reviewer name; empty until a human attested this revision (§3.8)</t>
  </si>
  <si>
    <t xml:space="preserve">review_date</t>
  </si>
  <si>
    <t xml:space="preserve">reviewed_fingerprint</t>
  </si>
  <si>
    <t xml:space="preserve">INPUTS</t>
  </si>
  <si>
    <t xml:space="preserve">comment</t>
  </si>
  <si>
    <t xml:space="preserve">investment_in_euro</t>
  </si>
  <si>
    <t xml:space="preserve">device cost override</t>
  </si>
  <si>
    <t xml:space="preserve">lifetime_in_years</t>
  </si>
  <si>
    <t xml:space="preserve">service life override</t>
  </si>
  <si>
    <t xml:space="preserve">maintenance_rate</t>
  </si>
  <si>
    <t xml:space="preserve">no maintenance, so the schedule stays visible</t>
  </si>
  <si>
    <t xml:space="preserve">horizon_in_years</t>
  </si>
  <si>
    <t xml:space="preserve">observation period</t>
  </si>
  <si>
    <t xml:space="preserve">interest_rate</t>
  </si>
  <si>
    <t xml:space="preserve">discount rate</t>
  </si>
  <si>
    <t xml:space="preserve">general_price_escalation_rate</t>
  </si>
  <si>
    <t xml:space="preserve">no escalation of operating costs</t>
  </si>
  <si>
    <t xml:space="preserve">investment_price_escalation_rate</t>
  </si>
  <si>
    <t xml:space="preserve">device prices rise 2 % per year</t>
  </si>
  <si>
    <t xml:space="preserve">energy_price_escalation_rate</t>
  </si>
  <si>
    <t xml:space="preserve">no energy in this example</t>
  </si>
  <si>
    <t xml:space="preserve">EXPECTED</t>
  </si>
  <si>
    <t xml:space="preserve">abs_tol</t>
  </si>
  <si>
    <t xml:space="preserve">note</t>
  </si>
  <si>
    <t xml:space="preserve">sign convention: cost positive, revenue / subsidy / residual value negative</t>
  </si>
  <si>
    <t xml:space="preserve">nominal_replacement_year_8_in_euro</t>
  </si>
  <si>
    <t xml:space="preserve">the replacement is bought at the escalated price of year 8</t>
  </si>
  <si>
    <t xml:space="preserve">npv_replacement_in_euro</t>
  </si>
  <si>
    <t xml:space="preserve">nominal_residual_value_year_12_in_euro</t>
  </si>
  <si>
    <t xml:space="preserve">4 of 8 years of the replacement are still unused at the end of the horizon. Single-replacement scenario by construction: 2*lifetime_in_years-horizon_in_years is the unused remainder only while lifetime_in_years &lt;= horizon_in_years &lt; 2*lifetime_in_years</t>
  </si>
  <si>
    <t xml:space="preserve">npv_residual_value_in_euro</t>
  </si>
  <si>
    <t xml:space="preserve">npv_investment_in_euro</t>
  </si>
  <si>
    <t xml:space="preserve">total_npv_in_euro</t>
  </si>
  <si>
    <t xml:space="preserve">annuity_factor</t>
  </si>
  <si>
    <t xml:space="preserve">eac_in_euro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</si>
</sst>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60"/>
  </cols>
  <sheetData>
    <row r="1" customFormat="false" ht="15" hidden="false" customHeight="true" outlineLevel="0" collapsed="false">
      <c r="A1" s="2" t="s">
        <v>0</v>
      </c>
      <c r="B1" s="2" t="s">
        <v>1</v>
      </c>
      <c r="C1" s="3"/>
    </row>
    <row r="2" customFormat="false" ht="15" hidden="false" customHeight="true" outlineLevel="0" collapsed="false">
      <c r="A2" s="1" t="s">
        <v>2</v>
      </c>
      <c r="B2" s="1" t="s">
        <v>3</v>
      </c>
      <c r="C2" s="3"/>
    </row>
    <row r="3" customFormat="false" ht="15" hidden="false" customHeight="true" outlineLevel="0" collapsed="false">
      <c r="A3" s="1" t="s">
        <v>4</v>
      </c>
      <c r="B3" s="1" t="s">
        <v>5</v>
      </c>
      <c r="C3" s="3"/>
    </row>
    <row r="4" customFormat="false" ht="15" hidden="false" customHeight="true" outlineLevel="0" collapsed="false">
      <c r="A4" s="1" t="s">
        <v>6</v>
      </c>
      <c r="B4" s="1" t="s">
        <v>7</v>
      </c>
      <c r="C4" s="3"/>
    </row>
    <row r="5" customFormat="false" ht="15" hidden="false" customHeight="true" outlineLevel="0" collapsed="false">
      <c r="A5" s="1" t="s">
        <v>8</v>
      </c>
      <c r="B5" s="1" t="s">
        <v>9</v>
      </c>
      <c r="C5" s="3"/>
    </row>
    <row r="6" customFormat="false" ht="15" hidden="false" customHeight="true" outlineLevel="0" collapsed="false">
      <c r="A6" s="1" t="s">
        <v>10</v>
      </c>
      <c r="C6" s="3" t="s">
        <v>11</v>
      </c>
    </row>
    <row r="7" customFormat="false" ht="15" hidden="false" customHeight="true" outlineLevel="0" collapsed="false">
      <c r="A7" s="1" t="s">
        <v>12</v>
      </c>
      <c r="C7" s="3"/>
    </row>
    <row r="8" customFormat="false" ht="15" hidden="false" customHeight="true" outlineLevel="0" collapsed="false">
      <c r="A8" s="1" t="s">
        <v>13</v>
      </c>
      <c r="C8" s="3"/>
    </row>
    <row r="9" customFormat="false" ht="15" hidden="false" customHeight="true" outlineLevel="0" collapsed="false">
      <c r="C9" s="3"/>
    </row>
    <row r="10" customFormat="false" ht="15" hidden="false" customHeight="true" outlineLevel="0" collapsed="false">
      <c r="A10" s="2" t="s">
        <v>14</v>
      </c>
      <c r="B10" s="2" t="s">
        <v>1</v>
      </c>
      <c r="C10" s="4" t="s">
        <v>15</v>
      </c>
    </row>
    <row r="11" customFormat="false" ht="15" hidden="false" customHeight="true" outlineLevel="0" collapsed="false">
      <c r="A11" s="1" t="s">
        <v>16</v>
      </c>
      <c r="B11" s="1" t="n">
        <v>10000</v>
      </c>
      <c r="C11" s="3" t="s">
        <v>17</v>
      </c>
    </row>
    <row r="12" customFormat="false" ht="15" hidden="false" customHeight="true" outlineLevel="0" collapsed="false">
      <c r="A12" s="1" t="s">
        <v>18</v>
      </c>
      <c r="B12" s="1" t="n">
        <v>8</v>
      </c>
      <c r="C12" s="3" t="s">
        <v>19</v>
      </c>
    </row>
    <row r="13" customFormat="false" ht="15" hidden="false" customHeight="true" outlineLevel="0" collapsed="false">
      <c r="A13" s="1" t="s">
        <v>20</v>
      </c>
      <c r="B13" s="1" t="n">
        <v>0</v>
      </c>
      <c r="C13" s="3" t="s">
        <v>21</v>
      </c>
    </row>
    <row r="14" customFormat="false" ht="15" hidden="false" customHeight="true" outlineLevel="0" collapsed="false">
      <c r="A14" s="1" t="s">
        <v>22</v>
      </c>
      <c r="B14" s="1" t="n">
        <v>12</v>
      </c>
      <c r="C14" s="3" t="s">
        <v>23</v>
      </c>
    </row>
    <row r="15" customFormat="false" ht="15" hidden="false" customHeight="true" outlineLevel="0" collapsed="false">
      <c r="A15" s="1" t="s">
        <v>24</v>
      </c>
      <c r="B15" s="1" t="n">
        <v>0.03</v>
      </c>
      <c r="C15" s="3" t="s">
        <v>25</v>
      </c>
    </row>
    <row r="16" customFormat="false" ht="15" hidden="false" customHeight="true" outlineLevel="0" collapsed="false">
      <c r="A16" s="1" t="s">
        <v>26</v>
      </c>
      <c r="B16" s="1" t="n">
        <v>0</v>
      </c>
      <c r="C16" s="3" t="s">
        <v>27</v>
      </c>
    </row>
    <row r="17" customFormat="false" ht="15" hidden="false" customHeight="true" outlineLevel="0" collapsed="false">
      <c r="A17" s="1" t="s">
        <v>28</v>
      </c>
      <c r="B17" s="1" t="n">
        <v>0.02</v>
      </c>
      <c r="C17" s="3" t="s">
        <v>29</v>
      </c>
    </row>
    <row r="18" customFormat="false" ht="15" hidden="false" customHeight="true" outlineLevel="0" collapsed="false">
      <c r="A18" s="1" t="s">
        <v>30</v>
      </c>
      <c r="B18" s="1" t="n">
        <v>0</v>
      </c>
      <c r="C18" s="3" t="s">
        <v>31</v>
      </c>
    </row>
    <row r="19" customFormat="false" ht="15" hidden="false" customHeight="true" outlineLevel="0" collapsed="false">
      <c r="C19" s="3"/>
    </row>
    <row r="20" customFormat="false" ht="15" hidden="false" customHeight="true" outlineLevel="0" collapsed="false">
      <c r="A20" s="2" t="s">
        <v>32</v>
      </c>
      <c r="B20" s="2" t="s">
        <v>1</v>
      </c>
      <c r="C20" s="4" t="s">
        <v>33</v>
      </c>
      <c r="D20" s="2" t="s">
        <v>34</v>
      </c>
      <c r="E20" s="1" t="s">
        <v>35</v>
      </c>
    </row>
    <row r="21" customFormat="false" ht="15" hidden="false" customHeight="true" outlineLevel="0" collapsed="false">
      <c r="A21" s="1" t="s">
        <v>36</v>
      </c>
      <c r="B21" s="1" t="n">
        <f aca="false">investment_in_euro*(1+investment_price_escalation_rate)^lifetime_in_years</f>
        <v>11716.5938100227</v>
      </c>
      <c r="C21" s="3" t="n">
        <v>0.01</v>
      </c>
      <c r="D21" s="1" t="s">
        <v>37</v>
      </c>
    </row>
    <row r="22" customFormat="false" ht="15" hidden="false" customHeight="true" outlineLevel="0" collapsed="false">
      <c r="A22" s="1" t="s">
        <v>38</v>
      </c>
      <c r="B22" s="1" t="n">
        <f aca="false">nominal_replacement_year_8_in_euro/(1+interest_rate)^lifetime_in_years</f>
        <v>9249.18734833738</v>
      </c>
      <c r="C22" s="3" t="n">
        <v>0.01</v>
      </c>
    </row>
    <row r="23" customFormat="false" ht="15" hidden="false" customHeight="true" outlineLevel="0" collapsed="false">
      <c r="A23" s="1" t="s">
        <v>39</v>
      </c>
      <c r="B23" s="1" t="n">
        <f aca="false">-nominal_replacement_year_8_in_euro*(2*lifetime_in_years-horizon_in_years)/lifetime_in_years</f>
        <v>-5858.29690501133</v>
      </c>
      <c r="C23" s="3" t="n">
        <v>0.01</v>
      </c>
      <c r="D23" s="1" t="s">
        <v>40</v>
      </c>
    </row>
    <row r="24" customFormat="false" ht="15" hidden="false" customHeight="true" outlineLevel="0" collapsed="false">
      <c r="A24" s="1" t="s">
        <v>41</v>
      </c>
      <c r="B24" s="1" t="n">
        <f aca="false">nominal_residual_value_year_12_in_euro/(1+interest_rate)^horizon_in_years</f>
        <v>-4108.89158137171</v>
      </c>
      <c r="C24" s="3" t="n">
        <v>0.01</v>
      </c>
    </row>
    <row r="25" customFormat="false" ht="15" hidden="false" customHeight="true" outlineLevel="0" collapsed="false">
      <c r="A25" s="1" t="s">
        <v>42</v>
      </c>
      <c r="B25" s="1" t="n">
        <f aca="false">investment_in_euro</f>
        <v>10000</v>
      </c>
      <c r="C25" s="3" t="n">
        <v>0.01</v>
      </c>
    </row>
    <row r="26" customFormat="false" ht="15" hidden="false" customHeight="true" outlineLevel="0" collapsed="false">
      <c r="A26" s="1" t="s">
        <v>43</v>
      </c>
      <c r="B26" s="1" t="n">
        <f aca="false">npv_investment_in_euro+npv_replacement_in_euro+npv_residual_value_in_euro</f>
        <v>15140.2957669657</v>
      </c>
      <c r="C26" s="3" t="n">
        <v>0.01</v>
      </c>
    </row>
    <row r="27" customFormat="false" ht="15" hidden="false" customHeight="true" outlineLevel="0" collapsed="false">
      <c r="A27" s="1" t="s">
        <v>44</v>
      </c>
      <c r="B27" s="1" t="n">
        <f aca="false">interest_rate*(1+interest_rate)^horizon_in_years/((1+interest_rate)^horizon_in_years-1)</f>
        <v>0.100462085472963</v>
      </c>
      <c r="C27" s="3" t="n">
        <v>1E-006</v>
      </c>
    </row>
    <row r="28" customFormat="false" ht="15" hidden="false" customHeight="true" outlineLevel="0" collapsed="false">
      <c r="A28" s="1" t="s">
        <v>45</v>
      </c>
      <c r="B28" s="1" t="n">
        <f aca="false">total_npv_in_euro*annuity_factor</f>
        <v>1521.02568742684</v>
      </c>
      <c r="C28" s="3" t="n">
        <v>0.01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2026-08-12T10:21:23Z</dcterms:created>
  <dc:creator>openpyxl</dc:creator>
  <dc:description/>
  <dc:language>en-US</dc:language>
  <cp:lastModifiedBy/>
  <dcterms:modified xsi:type="dcterms:W3CDTF">2026-09-08T10:07:52Z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