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ity_factor" vbProcedure="false">Example!$B$27</definedName>
    <definedName function="false" hidden="false" name="eac_in_euro" vbProcedure="false">Example!$B$28</definedName>
    <definedName function="false" hidden="false" name="energy_price_escalation_rate" vbProcedure="false">Example!$B$18</definedName>
    <definedName function="false" hidden="false" name="general_price_escalation_rate" vbProcedure="false">Example!$B$16</definedName>
    <definedName function="false" hidden="false" name="horizon_in_years" vbProcedure="false">Example!$B$14</definedName>
    <definedName function="false" hidden="false" name="interest_rate" vbProcedure="false">Example!$B$15</definedName>
    <definedName function="false" hidden="false" name="investment_in_euro" vbProcedure="false">Example!$B$11</definedName>
    <definedName function="false" hidden="false" name="investment_price_escalation_rate" vbProcedure="false">Example!$B$17</definedName>
    <definedName function="false" hidden="false" name="lifetime_in_years" vbProcedure="false">Example!$B$12</definedName>
    <definedName function="false" hidden="false" name="maintenance_rate" vbProcedure="false">Example!$B$13</definedName>
    <definedName function="false" hidden="false" name="nominal_replacement_year_8_in_euro" vbProcedure="false">Example!$B$21</definedName>
    <definedName function="false" hidden="false" name="nominal_residual_value_year_12_in_euro" vbProcedure="false">Example!$B$23</definedName>
    <definedName function="false" hidden="false" name="npv_investment_in_euro" vbProcedure="false">Example!$B$25</definedName>
    <definedName function="false" hidden="false" name="npv_replacement_in_euro" vbProcedure="false">Example!$B$22</definedName>
    <definedName function="false" hidden="false" name="npv_residual_value_in_euro" vbProcedure="false">Example!$B$24</definedName>
    <definedName function="false" hidden="false" name="total_npv_in_euro" vbProcedure="false">Example!$B$26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<sst xmlns="http://schemas.openxmlformats.org/spreadsheetml/2006/main" count="48" uniqueCount="46">
  <si>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METADATA</t>
  </si>
  <si>
    <t xml:space="preserve">value</t>
  </si>
  <si>
    <t xml:space="preserve">name</t>
  </si>
  <si>
    <t xml:space="preserve">replacement_and_residual_value</t>
  </si>
  <si>
    <t xml:space="preserve">spec_section</t>
  </si>
  <si>
    <t xml:space="preserve">3.6</t>
  </si>
  <si>
    <t xml:space="preserve">computed_by</t>
  </si>
  <si>
    <t xml:space="preserve">Claude draft + LibreOffice recalculation, 2026-08-12</t>
  </si>
  <si>
    <t xml:space="preserve">description</t>
  </si>
  <si>
    <t xml:space="preserve">A 10,000 EUR device with an 8-year service life over a 12-year horizon at 3 % interest, with investment prices escalating at 2 % per year. The device is replaced once in year 8 at the escalated price; at the end of the horizon 4 of the replacement's 8 years are still unused, so half of the escalated price is credited back as residual value.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</si>
  <si>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</si>
  <si>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</si>
  <si>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</si>
  <si>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</si>
  <si>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</si>
  <si>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</si>
  <si>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investment_in_euro</t>
  </si>
  <si>
    <t xml:space="preserve">device cost override</t>
  </si>
  <si>
    <t xml:space="preserve">lifetime_in_years</t>
  </si>
  <si>
    <t xml:space="preserve">service life override</t>
  </si>
  <si>
    <t xml:space="preserve">maintenance_rate</t>
  </si>
  <si>
    <t xml:space="preserve">no maintenance, so the schedule stays visible</t>
  </si>
  <si>
    <t xml:space="preserve">horizon_in_years</t>
  </si>
  <si>
    <t xml:space="preserve">observation period</t>
  </si>
  <si>
    <t xml:space="preserve">interest_rate</t>
  </si>
  <si>
    <t xml:space="preserve">discount rate</t>
  </si>
  <si>
    <t xml:space="preserve">general_price_escalation_rate</t>
  </si>
  <si>
    <t xml:space="preserve">no escalation of operating costs</t>
  </si>
  <si>
    <t xml:space="preserve">investment_price_escalation_rate</t>
  </si>
  <si>
    <t xml:space="preserve">device prices rise 2 % per year</t>
  </si>
  <si>
    <t xml:space="preserve">energy_price_escalation_rate</t>
  </si>
  <si>
    <t xml:space="preserve">no energy in this example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</si>
  <si>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</si>
  <si>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</si>
  <si>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</si>
  <si>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</si>
  <si>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nominal_replacement_year_8_in_euro</t>
  </si>
  <si>
    <t xml:space="preserve">the replacement is bought at the escalated price of year 8</t>
  </si>
  <si>
    <t xml:space="preserve">npv_replacement_in_euro</t>
  </si>
  <si>
    <t xml:space="preserve">nominal_residual_value_year_12_in_euro</t>
  </si>
  <si>
    <t xml:space="preserve">4 of 8 years of the replacement are still unused at the end of the horizon</t>
  </si>
  <si>
    <t xml:space="preserve">npv_residual_value_in_euro</t>
  </si>
  <si>
    <t xml:space="preserve">npv_investment_in_euro</t>
  </si>
  <si>
    <t xml:space="preserve">total_npv_in_euro</t>
  </si>
  <si>
    <t xml:space="preserve">annuity_factor</t>
  </si>
  <si>
    <t xml:space="preserve">eac_in_euro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</si>
</sst>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10000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8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0</v>
      </c>
      <c r="C13" s="2" t="s">
        <v>21</v>
      </c>
    </row>
    <row r="14" customFormat="false" ht="15" hidden="false" customHeight="false" outlineLevel="0" collapsed="false">
      <c r="A14" s="0" t="s">
        <v>22</v>
      </c>
      <c r="B14" s="0" t="n">
        <v>12</v>
      </c>
      <c r="C14" s="2" t="s">
        <v>23</v>
      </c>
    </row>
    <row r="15" customFormat="false" ht="15" hidden="false" customHeight="false" outlineLevel="0" collapsed="false">
      <c r="A15" s="0" t="s">
        <v>24</v>
      </c>
      <c r="B15" s="0" t="n">
        <v>0.03</v>
      </c>
      <c r="C15" s="2" t="s">
        <v>25</v>
      </c>
    </row>
    <row r="16" customFormat="false" ht="15" hidden="false" customHeight="false" outlineLevel="0" collapsed="false">
      <c r="A16" s="0" t="s">
        <v>26</v>
      </c>
      <c r="B16" s="0" t="n">
        <v>0</v>
      </c>
      <c r="C16" s="2" t="s">
        <v>27</v>
      </c>
    </row>
    <row r="17" customFormat="false" ht="15" hidden="false" customHeight="false" outlineLevel="0" collapsed="false">
      <c r="A17" s="0" t="s">
        <v>28</v>
      </c>
      <c r="B17" s="0" t="n">
        <v>0.02</v>
      </c>
      <c r="C17" s="2" t="s">
        <v>29</v>
      </c>
    </row>
    <row r="18" customFormat="false" ht="15" hidden="false" customHeight="false" outlineLevel="0" collapsed="false">
      <c r="A18" s="0" t="s">
        <v>30</v>
      </c>
      <c r="B18" s="0" t="n">
        <v>0</v>
      </c>
      <c r="C18" s="2" t="s">
        <v>31</v>
      </c>
    </row>
    <row r="19" customFormat="false" ht="15" hidden="false" customHeight="false" outlineLevel="0" collapsed="false">
      <c r="C19" s="2"/>
    </row>
    <row r="20" customFormat="false" ht="15" hidden="false" customHeight="false" outlineLevel="0" collapsed="false">
      <c r="A20" s="1" t="s">
        <v>32</v>
      </c>
      <c r="B20" s="1" t="s">
        <v>1</v>
      </c>
      <c r="C20" s="3" t="s">
        <v>33</v>
      </c>
      <c r="D20" s="1" t="s">
        <v>34</v>
      </c>
      <c r="E20" s="0" t="s">
        <v>35</v>
      </c>
    </row>
    <row r="21" customFormat="false" ht="15" hidden="false" customHeight="false" outlineLevel="0" collapsed="false">
      <c r="A21" s="0" t="s">
        <v>36</v>
      </c>
      <c r="B21" s="0" t="n">
        <f aca="false">investment_in_euro*(1+investment_price_escalation_rate)^lifetime_in_years</f>
        <v>11716.5938100227</v>
      </c>
      <c r="C21" s="2" t="n">
        <v>0.01</v>
      </c>
      <c r="D21" s="0" t="s">
        <v>37</v>
      </c>
    </row>
    <row r="22" customFormat="false" ht="15" hidden="false" customHeight="false" outlineLevel="0" collapsed="false">
      <c r="A22" s="0" t="s">
        <v>38</v>
      </c>
      <c r="B22" s="0" t="n">
        <f aca="false">nominal_replacement_year_8_in_euro/(1+interest_rate)^8</f>
        <v>9249.18734833738</v>
      </c>
      <c r="C22" s="2" t="n">
        <v>0.01</v>
      </c>
    </row>
    <row r="23" customFormat="false" ht="15" hidden="false" customHeight="false" outlineLevel="0" collapsed="false">
      <c r="A23" s="0" t="s">
        <v>39</v>
      </c>
      <c r="B23" s="0" t="n">
        <f aca="false">-nominal_replacement_year_8_in_euro*(lifetime_in_years+8-horizon_in_years)/lifetime_in_years</f>
        <v>-5858.29690501133</v>
      </c>
      <c r="C23" s="2" t="n">
        <v>0.01</v>
      </c>
      <c r="D23" s="0" t="s">
        <v>40</v>
      </c>
    </row>
    <row r="24" customFormat="false" ht="15" hidden="false" customHeight="false" outlineLevel="0" collapsed="false">
      <c r="A24" s="0" t="s">
        <v>41</v>
      </c>
      <c r="B24" s="0" t="n">
        <f aca="false">nominal_residual_value_year_12_in_euro/(1+interest_rate)^horizon_in_years</f>
        <v>-4108.89158137171</v>
      </c>
      <c r="C24" s="2" t="n">
        <v>0.01</v>
      </c>
    </row>
    <row r="25" customFormat="false" ht="15" hidden="false" customHeight="false" outlineLevel="0" collapsed="false">
      <c r="A25" s="0" t="s">
        <v>42</v>
      </c>
      <c r="B25" s="0" t="n">
        <f aca="false">investment_in_euro</f>
        <v>10000</v>
      </c>
      <c r="C25" s="2" t="n">
        <v>0.01</v>
      </c>
    </row>
    <row r="26" customFormat="false" ht="15" hidden="false" customHeight="false" outlineLevel="0" collapsed="false">
      <c r="A26" s="0" t="s">
        <v>43</v>
      </c>
      <c r="B26" s="0" t="n">
        <f aca="false">npv_investment_in_euro+npv_replacement_in_euro+npv_residual_value_in_euro</f>
        <v>15140.2957669657</v>
      </c>
      <c r="C26" s="2" t="n">
        <v>0.01</v>
      </c>
    </row>
    <row r="27" customFormat="false" ht="15" hidden="false" customHeight="false" outlineLevel="0" collapsed="false">
      <c r="A27" s="0" t="s">
        <v>44</v>
      </c>
      <c r="B27" s="0" t="n">
        <f aca="false">interest_rate*(1+interest_rate)^horizon_in_years/((1+interest_rate)^horizon_in_years-1)</f>
        <v>0.100462085472963</v>
      </c>
      <c r="C27" s="2" t="n">
        <v>1E-006</v>
      </c>
    </row>
    <row r="28" customFormat="false" ht="15" hidden="false" customHeight="false" outlineLevel="0" collapsed="false">
      <c r="A28" s="0" t="s">
        <v>45</v>
      </c>
      <c r="B28" s="0" t="n">
        <f aca="false">total_npv_in_euro*annuity_factor</f>
        <v>1521.02568742684</v>
      </c>
      <c r="C28" s="2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