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Example" sheetId="1" state="visible" r:id="rId3"/>
  </sheets>
  <definedNames>
    <definedName function="false" hidden="false" name="annuity_in_euro" vbProcedure="false">Example!$B$16</definedName>
    <definedName function="false" hidden="false" name="annuity_via_pmt_in_euro" vbProcedure="false">Example!$B$17</definedName>
    <definedName function="false" hidden="false" name="duration_in_years" vbProcedure="false">Example!$B$13</definedName>
    <definedName function="false" hidden="false" name="interest_rate" vbProcedure="false">Example!$B$12</definedName>
    <definedName function="false" hidden="false" name="interest_year_10_in_euro" vbProcedure="false">Example!$B$27</definedName>
    <definedName function="false" hidden="false" name="interest_year_1_in_euro" vbProcedure="false">Example!$B$18</definedName>
    <definedName function="false" hidden="false" name="interest_year_2_in_euro" vbProcedure="false">Example!$B$19</definedName>
    <definedName function="false" hidden="false" name="interest_year_3_in_euro" vbProcedure="false">Example!$B$20</definedName>
    <definedName function="false" hidden="false" name="interest_year_4_in_euro" vbProcedure="false">Example!$B$21</definedName>
    <definedName function="false" hidden="false" name="interest_year_5_in_euro" vbProcedure="false">Example!$B$22</definedName>
    <definedName function="false" hidden="false" name="interest_year_6_in_euro" vbProcedure="false">Example!$B$23</definedName>
    <definedName function="false" hidden="false" name="interest_year_7_in_euro" vbProcedure="false">Example!$B$24</definedName>
    <definedName function="false" hidden="false" name="interest_year_8_in_euro" vbProcedure="false">Example!$B$25</definedName>
    <definedName function="false" hidden="false" name="interest_year_9_in_euro" vbProcedure="false">Example!$B$26</definedName>
    <definedName function="false" hidden="false" name="loan_type" vbProcedure="false">Example!$B$14</definedName>
    <definedName function="false" hidden="false" name="principal_in_euro" vbProcedure="false">Example!$B$11</definedName>
    <definedName function="false" hidden="false" name="principal_repayment_year_10_in_euro" vbProcedure="false">Example!$B$37</definedName>
    <definedName function="false" hidden="false" name="principal_repayment_year_1_in_euro" vbProcedure="false">Example!$B$28</definedName>
    <definedName function="false" hidden="false" name="principal_repayment_year_2_in_euro" vbProcedure="false">Example!$B$29</definedName>
    <definedName function="false" hidden="false" name="principal_repayment_year_3_in_euro" vbProcedure="false">Example!$B$30</definedName>
    <definedName function="false" hidden="false" name="principal_repayment_year_4_in_euro" vbProcedure="false">Example!$B$31</definedName>
    <definedName function="false" hidden="false" name="principal_repayment_year_5_in_euro" vbProcedure="false">Example!$B$32</definedName>
    <definedName function="false" hidden="false" name="principal_repayment_year_6_in_euro" vbProcedure="false">Example!$B$33</definedName>
    <definedName function="false" hidden="false" name="principal_repayment_year_7_in_euro" vbProcedure="false">Example!$B$34</definedName>
    <definedName function="false" hidden="false" name="principal_repayment_year_8_in_euro" vbProcedure="false">Example!$B$35</definedName>
    <definedName function="false" hidden="false" name="principal_repayment_year_9_in_euro" vbProcedure="false">Example!$B$36</definedName>
    <definedName function="false" hidden="false" name="remaining_debt_year_10_in_euro" vbProcedure="false">Example!$B$47</definedName>
    <definedName function="false" hidden="false" name="remaining_debt_year_1_in_euro" vbProcedure="false">Example!$B$38</definedName>
    <definedName function="false" hidden="false" name="remaining_debt_year_2_in_euro" vbProcedure="false">Example!$B$39</definedName>
    <definedName function="false" hidden="false" name="remaining_debt_year_3_in_euro" vbProcedure="false">Example!$B$40</definedName>
    <definedName function="false" hidden="false" name="remaining_debt_year_4_in_euro" vbProcedure="false">Example!$B$41</definedName>
    <definedName function="false" hidden="false" name="remaining_debt_year_5_in_euro" vbProcedure="false">Example!$B$42</definedName>
    <definedName function="false" hidden="false" name="remaining_debt_year_6_in_euro" vbProcedure="false">Example!$B$43</definedName>
    <definedName function="false" hidden="false" name="remaining_debt_year_7_in_euro" vbProcedure="false">Example!$B$44</definedName>
    <definedName function="false" hidden="false" name="remaining_debt_year_8_in_euro" vbProcedure="false">Example!$B$45</definedName>
    <definedName function="false" hidden="false" name="remaining_debt_year_9_in_euro" vbProcedure="false">Example!$B$46</definedName>
    <definedName function="false" hidden="false" name="total_interest_in_euro" vbProcedure="false">Example!$B$48</definedName>
    <definedName function="false" hidden="false" name="total_payments_in_euro" vbProcedure="false">Example!$B$49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<sst xmlns="http://schemas.openxmlformats.org/spreadsheetml/2006/main" count="69" uniqueCount="67">
  <si>
    <t xml:space="preserve">METADATA</t>
  </si>
  <si>
    <t xml:space="preserve">value</t>
  </si>
  <si>
    <t xml:space="preserve">name</t>
  </si>
  <si>
    <t xml:space="preserve">loan_10y_3pct</t>
  </si>
  <si>
    <t xml:space="preserve">spec_section</t>
  </si>
  <si>
    <t xml:space="preserve">4.4</t>
  </si>
  <si>
    <t xml:space="preserve">computed_by</t>
  </si>
  <si>
    <t xml:space="preserve">Claude draft + LibreOffice recalculation, 2026-08-12</t>
  </si>
  <si>
    <t xml:space="preserve">description</t>
  </si>
  <si>
    <t xml:space="preserve">20,000 EUR annuity loan over 10 years at 3 % nominal interest. The annuity is the closed-form constant payment; each year's interest is the previous year's remaining debt times the rate, the repayment is the annuity minus that interest, and the remaining debt falls by the repayment. Total interest is the sum of the ten interest rows.</t>
  </si>
  <si>
    <t xml:space="preserve">reviewed_by</t>
  </si>
  <si>
    <t xml:space="preserve">reviewer name; empty until a human attested this revision (§3.8)</t>
  </si>
  <si>
    <t xml:space="preserve">review_date</t>
  </si>
  <si>
    <t xml:space="preserve">reviewed_fingerprint</t>
  </si>
  <si>
    <t xml:space="preserve">INPUTS</t>
  </si>
  <si>
    <t xml:space="preserve">comment</t>
  </si>
  <si>
    <t xml:space="preserve">principal_in_euro</t>
  </si>
  <si>
    <t xml:space="preserve">financed amount, paid out at year 0</t>
  </si>
  <si>
    <t xml:space="preserve">interest_rate</t>
  </si>
  <si>
    <t xml:space="preserve">nominal annual interest rate</t>
  </si>
  <si>
    <t xml:space="preserve">duration_in_years</t>
  </si>
  <si>
    <t xml:space="preserve">loan term</t>
  </si>
  <si>
    <t xml:space="preserve">loan_type</t>
  </si>
  <si>
    <t xml:space="preserve">ANNUITY</t>
  </si>
  <si>
    <t xml:space="preserve">FinancingPlan.type</t>
  </si>
  <si>
    <t xml:space="preserve">EXPECTED</t>
  </si>
  <si>
    <t xml:space="preserve">abs_tol</t>
  </si>
  <si>
    <t xml:space="preserve">note</t>
  </si>
  <si>
    <t xml:space="preserve">sign convention: cost positive, revenue / subsidy / residual value negative</t>
  </si>
  <si>
    <t xml:space="preserve">annuity_in_euro</t>
  </si>
  <si>
    <t xml:space="preserve">closed-form annuity of the constant-payment loan</t>
  </si>
  <si>
    <t xml:space="preserve">annuity_via_pmt_in_euro</t>
  </si>
  <si>
    <t xml:space="preserve">same figure from Excel's own finance library, as an independent second opinion</t>
  </si>
  <si>
    <t xml:space="preserve">interest_year_1_in_euro</t>
  </si>
  <si>
    <t xml:space="preserve">written with raw cell references on purpose: the converter rewrites them to names</t>
  </si>
  <si>
    <t xml:space="preserve">interest_year_2_in_euro</t>
  </si>
  <si>
    <t xml:space="preserve">interest_year_3_in_euro</t>
  </si>
  <si>
    <t xml:space="preserve">interest_year_4_in_euro</t>
  </si>
  <si>
    <t xml:space="preserve">interest_year_5_in_euro</t>
  </si>
  <si>
    <t xml:space="preserve">interest_year_6_in_euro</t>
  </si>
  <si>
    <t xml:space="preserve">interest_year_7_in_euro</t>
  </si>
  <si>
    <t xml:space="preserve">interest_year_8_in_euro</t>
  </si>
  <si>
    <t xml:space="preserve">interest_year_9_in_euro</t>
  </si>
  <si>
    <t xml:space="preserve">interest_year_10_in_euro</t>
  </si>
  <si>
    <t xml:space="preserve">principal_repayment_year_1_in_euro</t>
  </si>
  <si>
    <t xml:space="preserve">principal_repayment_year_2_in_euro</t>
  </si>
  <si>
    <t xml:space="preserve">principal_repayment_year_3_in_euro</t>
  </si>
  <si>
    <t xml:space="preserve">principal_repayment_year_4_in_euro</t>
  </si>
  <si>
    <t xml:space="preserve">principal_repayment_year_5_in_euro</t>
  </si>
  <si>
    <t xml:space="preserve">principal_repayment_year_6_in_euro</t>
  </si>
  <si>
    <t xml:space="preserve">principal_repayment_year_7_in_euro</t>
  </si>
  <si>
    <t xml:space="preserve">principal_repayment_year_8_in_euro</t>
  </si>
  <si>
    <t xml:space="preserve">principal_repayment_year_9_in_euro</t>
  </si>
  <si>
    <t xml:space="preserve">principal_repayment_year_10_in_euro</t>
  </si>
  <si>
    <t xml:space="preserve">remaining_debt_year_1_in_euro</t>
  </si>
  <si>
    <t xml:space="preserve">remaining_debt_year_2_in_euro</t>
  </si>
  <si>
    <t xml:space="preserve">remaining_debt_year_3_in_euro</t>
  </si>
  <si>
    <t xml:space="preserve">remaining_debt_year_4_in_euro</t>
  </si>
  <si>
    <t xml:space="preserve">remaining_debt_year_5_in_euro</t>
  </si>
  <si>
    <t xml:space="preserve">remaining_debt_year_6_in_euro</t>
  </si>
  <si>
    <t xml:space="preserve">remaining_debt_year_7_in_euro</t>
  </si>
  <si>
    <t xml:space="preserve">remaining_debt_year_8_in_euro</t>
  </si>
  <si>
    <t xml:space="preserve">remaining_debt_year_9_in_euro</t>
  </si>
  <si>
    <t xml:space="preserve">remaining_debt_year_10_in_euro</t>
  </si>
  <si>
    <t xml:space="preserve">total_interest_in_euro</t>
  </si>
  <si>
    <t xml:space="preserve">range over ten individually labeled rows (validation rule 7)</t>
  </si>
  <si>
    <t xml:space="preserve">total_payments_in_euro</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</si>
</sst>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customHeight="false" zeroHeight="false" outlineLevelRow="0" outlineLevelCol="0"/>
  <cols>
    <col collapsed="false" customWidth="true" hidden="false" outlineLevel="0" max="1" min="1" style="1" width="42"/>
    <col collapsed="false" customWidth="true" hidden="false" outlineLevel="0" max="2" min="2" style="1" width="22"/>
    <col collapsed="false" customWidth="true" hidden="false" outlineLevel="0" max="3" min="3" style="1" width="30"/>
    <col collapsed="false" customWidth="true" hidden="false" outlineLevel="0" max="4" min="4" style="1" width="60"/>
  </cols>
  <sheetData>
    <row r="1" customFormat="false" ht="15" hidden="false" customHeight="true" outlineLevel="0" collapsed="false">
      <c r="A1" s="2" t="s">
        <v>0</v>
      </c>
      <c r="B1" s="2" t="s">
        <v>1</v>
      </c>
      <c r="C1" s="3"/>
    </row>
    <row r="2" customFormat="false" ht="15" hidden="false" customHeight="true" outlineLevel="0" collapsed="false">
      <c r="A2" s="1" t="s">
        <v>2</v>
      </c>
      <c r="B2" s="1" t="s">
        <v>3</v>
      </c>
      <c r="C2" s="3"/>
    </row>
    <row r="3" customFormat="false" ht="15" hidden="false" customHeight="true" outlineLevel="0" collapsed="false">
      <c r="A3" s="1" t="s">
        <v>4</v>
      </c>
      <c r="B3" s="1" t="s">
        <v>5</v>
      </c>
      <c r="C3" s="3"/>
    </row>
    <row r="4" customFormat="false" ht="15" hidden="false" customHeight="true" outlineLevel="0" collapsed="false">
      <c r="A4" s="1" t="s">
        <v>6</v>
      </c>
      <c r="B4" s="1" t="s">
        <v>7</v>
      </c>
      <c r="C4" s="3"/>
    </row>
    <row r="5" customFormat="false" ht="15" hidden="false" customHeight="true" outlineLevel="0" collapsed="false">
      <c r="A5" s="1" t="s">
        <v>8</v>
      </c>
      <c r="B5" s="1" t="s">
        <v>9</v>
      </c>
      <c r="C5" s="3"/>
    </row>
    <row r="6" customFormat="false" ht="15" hidden="false" customHeight="true" outlineLevel="0" collapsed="false">
      <c r="A6" s="1" t="s">
        <v>10</v>
      </c>
      <c r="C6" s="3" t="s">
        <v>11</v>
      </c>
    </row>
    <row r="7" customFormat="false" ht="15" hidden="false" customHeight="true" outlineLevel="0" collapsed="false">
      <c r="A7" s="1" t="s">
        <v>12</v>
      </c>
      <c r="C7" s="3"/>
    </row>
    <row r="8" customFormat="false" ht="15" hidden="false" customHeight="true" outlineLevel="0" collapsed="false">
      <c r="A8" s="1" t="s">
        <v>13</v>
      </c>
      <c r="C8" s="3"/>
    </row>
    <row r="9" customFormat="false" ht="15" hidden="false" customHeight="true" outlineLevel="0" collapsed="false">
      <c r="C9" s="3"/>
    </row>
    <row r="10" customFormat="false" ht="15" hidden="false" customHeight="true" outlineLevel="0" collapsed="false">
      <c r="A10" s="2" t="s">
        <v>14</v>
      </c>
      <c r="B10" s="2" t="s">
        <v>1</v>
      </c>
      <c r="C10" s="4" t="s">
        <v>15</v>
      </c>
    </row>
    <row r="11" customFormat="false" ht="15" hidden="false" customHeight="true" outlineLevel="0" collapsed="false">
      <c r="A11" s="1" t="s">
        <v>16</v>
      </c>
      <c r="B11" s="1" t="n">
        <v>20000</v>
      </c>
      <c r="C11" s="3" t="s">
        <v>17</v>
      </c>
    </row>
    <row r="12" customFormat="false" ht="15" hidden="false" customHeight="true" outlineLevel="0" collapsed="false">
      <c r="A12" s="1" t="s">
        <v>18</v>
      </c>
      <c r="B12" s="1" t="n">
        <v>0.03</v>
      </c>
      <c r="C12" s="3" t="s">
        <v>19</v>
      </c>
    </row>
    <row r="13" customFormat="false" ht="15" hidden="false" customHeight="true" outlineLevel="0" collapsed="false">
      <c r="A13" s="1" t="s">
        <v>20</v>
      </c>
      <c r="B13" s="1" t="n">
        <v>10</v>
      </c>
      <c r="C13" s="3" t="s">
        <v>21</v>
      </c>
    </row>
    <row r="14" customFormat="false" ht="15" hidden="false" customHeight="true" outlineLevel="0" collapsed="false">
      <c r="A14" s="1" t="s">
        <v>22</v>
      </c>
      <c r="B14" s="1" t="s">
        <v>23</v>
      </c>
      <c r="C14" s="3" t="s">
        <v>24</v>
      </c>
    </row>
    <row r="15" customFormat="false" ht="15" hidden="false" customHeight="true" outlineLevel="0" collapsed="false">
      <c r="A15" s="2" t="s">
        <v>25</v>
      </c>
      <c r="B15" s="2" t="s">
        <v>1</v>
      </c>
      <c r="C15" s="4" t="s">
        <v>26</v>
      </c>
      <c r="D15" s="2" t="s">
        <v>27</v>
      </c>
      <c r="E15" s="1" t="s">
        <v>28</v>
      </c>
    </row>
    <row r="16" customFormat="false" ht="15" hidden="false" customHeight="true" outlineLevel="0" collapsed="false">
      <c r="A16" s="1" t="s">
        <v>29</v>
      </c>
      <c r="B16" s="1" t="n">
        <f aca="false">principal_in_euro*interest_rate*(1+interest_rate)^duration_in_years/((1+interest_rate)^duration_in_years-1)</f>
        <v>2344.61013210319</v>
      </c>
      <c r="C16" s="3" t="n">
        <v>0.01</v>
      </c>
      <c r="D16" s="1" t="s">
        <v>30</v>
      </c>
    </row>
    <row r="17" customFormat="false" ht="15" hidden="false" customHeight="true" outlineLevel="0" collapsed="false">
      <c r="A17" s="1" t="s">
        <v>31</v>
      </c>
      <c r="B17" s="1" t="n">
        <f aca="false">-PMT(interest_rate,duration_in_years,principal_in_euro)</f>
        <v>2344.61013210319</v>
      </c>
      <c r="C17" s="3" t="n">
        <v>0.01</v>
      </c>
      <c r="D17" s="1" t="s">
        <v>32</v>
      </c>
    </row>
    <row r="18" customFormat="false" ht="15" hidden="false" customHeight="true" outlineLevel="0" collapsed="false">
      <c r="A18" s="1" t="s">
        <v>33</v>
      </c>
      <c r="B18" s="1" t="n">
        <f aca="false">B11*B12</f>
        <v>600</v>
      </c>
      <c r="C18" s="3" t="n">
        <v>0.01</v>
      </c>
      <c r="D18" s="1" t="s">
        <v>34</v>
      </c>
    </row>
    <row r="19" customFormat="false" ht="15" hidden="false" customHeight="true" outlineLevel="0" collapsed="false">
      <c r="A19" s="1" t="s">
        <v>35</v>
      </c>
      <c r="B19" s="1" t="n">
        <f aca="false">remaining_debt_year_1_in_euro*interest_rate</f>
        <v>547.661696036904</v>
      </c>
      <c r="C19" s="3" t="n">
        <v>0.01</v>
      </c>
    </row>
    <row r="20" customFormat="false" ht="15" hidden="false" customHeight="true" outlineLevel="0" collapsed="false">
      <c r="A20" s="1" t="s">
        <v>36</v>
      </c>
      <c r="B20" s="1" t="n">
        <f aca="false">remaining_debt_year_2_in_euro*interest_rate</f>
        <v>493.753242954916</v>
      </c>
      <c r="C20" s="3" t="n">
        <v>0.01</v>
      </c>
    </row>
    <row r="21" customFormat="false" ht="15" hidden="false" customHeight="true" outlineLevel="0" collapsed="false">
      <c r="A21" s="1" t="s">
        <v>37</v>
      </c>
      <c r="B21" s="1" t="n">
        <f aca="false">remaining_debt_year_3_in_euro*interest_rate</f>
        <v>438.227536280467</v>
      </c>
      <c r="C21" s="3" t="n">
        <v>0.01</v>
      </c>
    </row>
    <row r="22" customFormat="false" ht="15" hidden="false" customHeight="true" outlineLevel="0" collapsed="false">
      <c r="A22" s="1" t="s">
        <v>38</v>
      </c>
      <c r="B22" s="1" t="n">
        <f aca="false">remaining_debt_year_4_in_euro*interest_rate</f>
        <v>381.036058405786</v>
      </c>
      <c r="C22" s="3" t="n">
        <v>0.01</v>
      </c>
    </row>
    <row r="23" customFormat="false" ht="15" hidden="false" customHeight="true" outlineLevel="0" collapsed="false">
      <c r="A23" s="1" t="s">
        <v>39</v>
      </c>
      <c r="B23" s="1" t="n">
        <f aca="false">remaining_debt_year_5_in_euro*interest_rate</f>
        <v>322.128836194864</v>
      </c>
      <c r="C23" s="3" t="n">
        <v>0.01</v>
      </c>
    </row>
    <row r="24" customFormat="false" ht="15" hidden="false" customHeight="true" outlineLevel="0" collapsed="false">
      <c r="A24" s="1" t="s">
        <v>40</v>
      </c>
      <c r="B24" s="1" t="n">
        <f aca="false">remaining_debt_year_6_in_euro*interest_rate</f>
        <v>261.454397317614</v>
      </c>
      <c r="C24" s="3" t="n">
        <v>0.01</v>
      </c>
    </row>
    <row r="25" customFormat="false" ht="15" hidden="false" customHeight="true" outlineLevel="0" collapsed="false">
      <c r="A25" s="1" t="s">
        <v>41</v>
      </c>
      <c r="B25" s="1" t="n">
        <f aca="false">remaining_debt_year_7_in_euro*interest_rate</f>
        <v>198.959725274047</v>
      </c>
      <c r="C25" s="3" t="n">
        <v>0.01</v>
      </c>
    </row>
    <row r="26" customFormat="false" ht="15" hidden="false" customHeight="true" outlineLevel="0" collapsed="false">
      <c r="A26" s="1" t="s">
        <v>42</v>
      </c>
      <c r="B26" s="1" t="n">
        <f aca="false">remaining_debt_year_8_in_euro*interest_rate</f>
        <v>134.590213069172</v>
      </c>
      <c r="C26" s="3" t="n">
        <v>0.01</v>
      </c>
    </row>
    <row r="27" customFormat="false" ht="15" hidden="false" customHeight="true" outlineLevel="0" collapsed="false">
      <c r="A27" s="1" t="s">
        <v>43</v>
      </c>
      <c r="B27" s="1" t="n">
        <f aca="false">remaining_debt_year_9_in_euro*interest_rate</f>
        <v>68.2896154981516</v>
      </c>
      <c r="C27" s="3" t="n">
        <v>0.01</v>
      </c>
    </row>
    <row r="28" customFormat="false" ht="15" hidden="false" customHeight="true" outlineLevel="0" collapsed="false">
      <c r="A28" s="1" t="s">
        <v>44</v>
      </c>
      <c r="B28" s="1" t="n">
        <f aca="false">annuity_in_euro-interest_year_1_in_euro</f>
        <v>1744.61013210319</v>
      </c>
      <c r="C28" s="3" t="n">
        <v>0.01</v>
      </c>
    </row>
    <row r="29" customFormat="false" ht="15" hidden="false" customHeight="true" outlineLevel="0" collapsed="false">
      <c r="A29" s="1" t="s">
        <v>45</v>
      </c>
      <c r="B29" s="1" t="n">
        <f aca="false">annuity_in_euro-interest_year_2_in_euro</f>
        <v>1796.94843606629</v>
      </c>
      <c r="C29" s="3" t="n">
        <v>0.01</v>
      </c>
    </row>
    <row r="30" customFormat="false" ht="15" hidden="false" customHeight="true" outlineLevel="0" collapsed="false">
      <c r="A30" s="1" t="s">
        <v>46</v>
      </c>
      <c r="B30" s="1" t="n">
        <f aca="false">annuity_in_euro-interest_year_3_in_euro</f>
        <v>1850.85688914827</v>
      </c>
      <c r="C30" s="3" t="n">
        <v>0.01</v>
      </c>
    </row>
    <row r="31" customFormat="false" ht="15" hidden="false" customHeight="true" outlineLevel="0" collapsed="false">
      <c r="A31" s="1" t="s">
        <v>47</v>
      </c>
      <c r="B31" s="1" t="n">
        <f aca="false">annuity_in_euro-interest_year_4_in_euro</f>
        <v>1906.38259582272</v>
      </c>
      <c r="C31" s="3" t="n">
        <v>0.01</v>
      </c>
    </row>
    <row r="32" customFormat="false" ht="15" hidden="false" customHeight="true" outlineLevel="0" collapsed="false">
      <c r="A32" s="1" t="s">
        <v>48</v>
      </c>
      <c r="B32" s="1" t="n">
        <f aca="false">annuity_in_euro-interest_year_5_in_euro</f>
        <v>1963.5740736974</v>
      </c>
      <c r="C32" s="3" t="n">
        <v>0.01</v>
      </c>
    </row>
    <row r="33" customFormat="false" ht="15" hidden="false" customHeight="true" outlineLevel="0" collapsed="false">
      <c r="A33" s="1" t="s">
        <v>49</v>
      </c>
      <c r="B33" s="1" t="n">
        <f aca="false">annuity_in_euro-interest_year_6_in_euro</f>
        <v>2022.48129590833</v>
      </c>
      <c r="C33" s="3" t="n">
        <v>0.01</v>
      </c>
    </row>
    <row r="34" customFormat="false" ht="15" hidden="false" customHeight="true" outlineLevel="0" collapsed="false">
      <c r="A34" s="1" t="s">
        <v>50</v>
      </c>
      <c r="B34" s="1" t="n">
        <f aca="false">annuity_in_euro-interest_year_7_in_euro</f>
        <v>2083.15573478558</v>
      </c>
      <c r="C34" s="3" t="n">
        <v>0.01</v>
      </c>
    </row>
    <row r="35" customFormat="false" ht="15" hidden="false" customHeight="true" outlineLevel="0" collapsed="false">
      <c r="A35" s="1" t="s">
        <v>51</v>
      </c>
      <c r="B35" s="1" t="n">
        <f aca="false">annuity_in_euro-interest_year_8_in_euro</f>
        <v>2145.65040682914</v>
      </c>
      <c r="C35" s="3" t="n">
        <v>0.01</v>
      </c>
    </row>
    <row r="36" customFormat="false" ht="15" hidden="false" customHeight="true" outlineLevel="0" collapsed="false">
      <c r="A36" s="1" t="s">
        <v>52</v>
      </c>
      <c r="B36" s="1" t="n">
        <f aca="false">annuity_in_euro-interest_year_9_in_euro</f>
        <v>2210.01991903402</v>
      </c>
      <c r="C36" s="3" t="n">
        <v>0.01</v>
      </c>
    </row>
    <row r="37" customFormat="false" ht="15" hidden="false" customHeight="true" outlineLevel="0" collapsed="false">
      <c r="A37" s="1" t="s">
        <v>53</v>
      </c>
      <c r="B37" s="1" t="n">
        <f aca="false">annuity_in_euro-interest_year_10_in_euro</f>
        <v>2276.32051660504</v>
      </c>
      <c r="C37" s="3" t="n">
        <v>0.01</v>
      </c>
    </row>
    <row r="38" customFormat="false" ht="15" hidden="false" customHeight="true" outlineLevel="0" collapsed="false">
      <c r="A38" s="1" t="s">
        <v>54</v>
      </c>
      <c r="B38" s="1" t="n">
        <f aca="false">principal_in_euro-principal_repayment_year_1_in_euro</f>
        <v>18255.3898678968</v>
      </c>
      <c r="C38" s="3" t="n">
        <v>0.01</v>
      </c>
    </row>
    <row r="39" customFormat="false" ht="15" hidden="false" customHeight="true" outlineLevel="0" collapsed="false">
      <c r="A39" s="1" t="s">
        <v>55</v>
      </c>
      <c r="B39" s="1" t="n">
        <f aca="false">remaining_debt_year_1_in_euro-principal_repayment_year_2_in_euro</f>
        <v>16458.4414318305</v>
      </c>
      <c r="C39" s="3" t="n">
        <v>0.01</v>
      </c>
    </row>
    <row r="40" customFormat="false" ht="15" hidden="false" customHeight="true" outlineLevel="0" collapsed="false">
      <c r="A40" s="1" t="s">
        <v>56</v>
      </c>
      <c r="B40" s="1" t="n">
        <f aca="false">remaining_debt_year_2_in_euro-principal_repayment_year_3_in_euro</f>
        <v>14607.5845426822</v>
      </c>
      <c r="C40" s="3" t="n">
        <v>0.01</v>
      </c>
    </row>
    <row r="41" customFormat="false" ht="15" hidden="false" customHeight="true" outlineLevel="0" collapsed="false">
      <c r="A41" s="1" t="s">
        <v>57</v>
      </c>
      <c r="B41" s="1" t="n">
        <f aca="false">remaining_debt_year_3_in_euro-principal_repayment_year_4_in_euro</f>
        <v>12701.2019468595</v>
      </c>
      <c r="C41" s="3" t="n">
        <v>0.01</v>
      </c>
    </row>
    <row r="42" customFormat="false" ht="15" hidden="false" customHeight="true" outlineLevel="0" collapsed="false">
      <c r="A42" s="1" t="s">
        <v>58</v>
      </c>
      <c r="B42" s="1" t="n">
        <f aca="false">remaining_debt_year_4_in_euro-principal_repayment_year_5_in_euro</f>
        <v>10737.6278731621</v>
      </c>
      <c r="C42" s="3" t="n">
        <v>0.01</v>
      </c>
    </row>
    <row r="43" customFormat="false" ht="15" hidden="false" customHeight="true" outlineLevel="0" collapsed="false">
      <c r="A43" s="1" t="s">
        <v>59</v>
      </c>
      <c r="B43" s="1" t="n">
        <f aca="false">remaining_debt_year_5_in_euro-principal_repayment_year_6_in_euro</f>
        <v>8715.14657725379</v>
      </c>
      <c r="C43" s="3" t="n">
        <v>0.01</v>
      </c>
    </row>
    <row r="44" customFormat="false" ht="15" hidden="false" customHeight="true" outlineLevel="0" collapsed="false">
      <c r="A44" s="1" t="s">
        <v>60</v>
      </c>
      <c r="B44" s="1" t="n">
        <f aca="false">remaining_debt_year_6_in_euro-principal_repayment_year_7_in_euro</f>
        <v>6631.99084246822</v>
      </c>
      <c r="C44" s="3" t="n">
        <v>0.01</v>
      </c>
    </row>
    <row r="45" customFormat="false" ht="15" hidden="false" customHeight="true" outlineLevel="0" collapsed="false">
      <c r="A45" s="1" t="s">
        <v>61</v>
      </c>
      <c r="B45" s="1" t="n">
        <f aca="false">remaining_debt_year_7_in_euro-principal_repayment_year_8_in_euro</f>
        <v>4486.34043563907</v>
      </c>
      <c r="C45" s="3" t="n">
        <v>0.01</v>
      </c>
    </row>
    <row r="46" customFormat="false" ht="15" hidden="false" customHeight="true" outlineLevel="0" collapsed="false">
      <c r="A46" s="1" t="s">
        <v>62</v>
      </c>
      <c r="B46" s="1" t="n">
        <f aca="false">remaining_debt_year_8_in_euro-principal_repayment_year_9_in_euro</f>
        <v>2276.32051660505</v>
      </c>
      <c r="C46" s="3" t="n">
        <v>0.01</v>
      </c>
    </row>
    <row r="47" customFormat="false" ht="15" hidden="false" customHeight="true" outlineLevel="0" collapsed="false">
      <c r="A47" s="1" t="s">
        <v>63</v>
      </c>
      <c r="B47" s="1" t="n">
        <f aca="false">remaining_debt_year_9_in_euro-principal_repayment_year_10_in_euro</f>
        <v>1.54614099301398E-011</v>
      </c>
      <c r="C47" s="3" t="n">
        <v>0.01</v>
      </c>
    </row>
    <row r="48" customFormat="false" ht="15" hidden="false" customHeight="true" outlineLevel="0" collapsed="false">
      <c r="A48" s="1" t="s">
        <v>64</v>
      </c>
      <c r="B48" s="1" t="n">
        <f aca="false">SUM(B18:B27)</f>
        <v>3446.10132103192</v>
      </c>
      <c r="C48" s="3" t="n">
        <v>0.01</v>
      </c>
      <c r="D48" s="1" t="s">
        <v>65</v>
      </c>
    </row>
    <row r="49" customFormat="false" ht="15" hidden="false" customHeight="true" outlineLevel="0" collapsed="false">
      <c r="A49" s="1" t="s">
        <v>66</v>
      </c>
      <c r="B49" s="1" t="n">
        <f aca="false">annuity_in_euro*duration_in_years</f>
        <v>23446.1013210319</v>
      </c>
      <c r="C49" s="3" t="n">
        <v>0.01</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2026-08-12T10:21:23Z</dcterms:created>
  <dc:creator>openpyxl</dc:creator>
  <dc:description/>
  <dc:language>en-US</dc:language>
  <cp:lastModifiedBy/>
  <dcterms:modified xsi:type="dcterms:W3CDTF">2026-09-08T10:07:52Z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