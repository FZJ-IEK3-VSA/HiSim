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duration_in_years" vbProcedure="false">Example!$B$13</definedName>
    <definedName function="false" hidden="false" name="interest_rate" vbProcedure="false">Example!$B$12</definedName>
    <definedName function="false" hidden="false" name="interest_year_10_in_euro" vbProcedure="false">Example!$B$19</definedName>
    <definedName function="false" hidden="false" name="interest_year_1_in_euro" vbProcedure="false">Example!$B$17</definedName>
    <definedName function="false" hidden="false" name="interest_year_5_in_euro" vbProcedure="false">Example!$B$18</definedName>
    <definedName function="false" hidden="false" name="loan_type" vbProcedure="false">Example!$B$14</definedName>
    <definedName function="false" hidden="false" name="principal_in_euro" vbProcedure="false">Example!$B$11</definedName>
    <definedName function="false" hidden="false" name="principal_repayment_year_10_in_euro" vbProcedure="false">Example!$B$21</definedName>
    <definedName function="false" hidden="false" name="principal_repayment_year_9_in_euro" vbProcedure="false">Example!$B$20</definedName>
    <definedName function="false" hidden="false" name="remaining_debt_year_10_in_euro" vbProcedure="false">Example!$B$23</definedName>
    <definedName function="false" hidden="false" name="remaining_debt_year_9_in_euro" vbProcedure="false">Example!$B$22</definedName>
    <definedName function="false" hidden="false" name="total_interest_in_euro" vbProcedure="false">Example!$B$24</definedName>
    <definedName function="false" hidden="false" name="total_payments_in_euro" vbProcedure="false">Example!$B$25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<sst xmlns="http://schemas.openxmlformats.org/spreadsheetml/2006/main" count="43" uniqueCount="41">
  <si>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METADATA</t>
  </si>
  <si>
    <t xml:space="preserve">value</t>
  </si>
  <si>
    <t xml:space="preserve">name</t>
  </si>
  <si>
    <t xml:space="preserve">loan_interest_only_bullet_10y_4pct</t>
  </si>
  <si>
    <t xml:space="preserve">spec_section</t>
  </si>
  <si>
    <t xml:space="preserve">4.4</t>
  </si>
  <si>
    <t xml:space="preserve">computed_by</t>
  </si>
  <si>
    <t xml:space="preserve">Claude draft + LibreOffice recalculation, 2026-08-12</t>
  </si>
  <si>
    <t xml:space="preserve">description</t>
  </si>
  <si>
    <t xml:space="preserve">50,000 EUR interest-only loan over 10 years at 4 %. Nothing amortizes before maturity, so every year carries the same interest on the full principal and the whole principal is repaid as a bullet in the final year.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</si>
  <si>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</si>
  <si>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</si>
  <si>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</si>
  <si>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</si>
  <si>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</si>
  <si>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</si>
  <si>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principal_in_euro</t>
  </si>
  <si>
    <t xml:space="preserve">financed amount</t>
  </si>
  <si>
    <t xml:space="preserve">interest_rate</t>
  </si>
  <si>
    <t xml:space="preserve">nominal annual interest rate</t>
  </si>
  <si>
    <t xml:space="preserve">duration_in_years</t>
  </si>
  <si>
    <t xml:space="preserve">loan term</t>
  </si>
  <si>
    <t xml:space="preserve">loan_type</t>
  </si>
  <si>
    <t xml:space="preserve">INTEREST_ONLY_WITH_BULLET</t>
  </si>
  <si>
    <t xml:space="preserve">FinancingPlan.type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</si>
  <si>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</si>
  <si>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</si>
  <si>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</si>
  <si>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</si>
  <si>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interest_year_1_in_euro</t>
  </si>
  <si>
    <t xml:space="preserve">interest_year_5_in_euro</t>
  </si>
  <si>
    <t xml:space="preserve">the debt never shrinks, so every year pays the same interest</t>
  </si>
  <si>
    <t xml:space="preserve">interest_year_10_in_euro</t>
  </si>
  <si>
    <t xml:space="preserve">principal_repayment_year_9_in_euro</t>
  </si>
  <si>
    <t xml:space="preserve">constant, not a formula: an interest-only loan amortizes nothing before maturity</t>
  </si>
  <si>
    <t xml:space="preserve">principal_repayment_year_10_in_euro</t>
  </si>
  <si>
    <t xml:space="preserve">the bullet</t>
  </si>
  <si>
    <t xml:space="preserve">remaining_debt_year_9_in_euro</t>
  </si>
  <si>
    <t xml:space="preserve">remaining_debt_year_10_in_euro</t>
  </si>
  <si>
    <t xml:space="preserve">total_interest_in_euro</t>
  </si>
  <si>
    <t xml:space="preserve">total_payments_in_euro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</si>
</sst>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/>
    </row>
    <row r="2" customFormat="false" ht="15" hidden="false" customHeight="false" outlineLevel="0" collapsed="false">
      <c r="A2" s="0" t="s">
        <v>2</v>
      </c>
      <c r="B2" s="0" t="s">
        <v>3</v>
      </c>
      <c r="C2" s="2"/>
    </row>
    <row r="3" customFormat="false" ht="15" hidden="false" customHeight="false" outlineLevel="0" collapsed="false">
      <c r="A3" s="0" t="s">
        <v>4</v>
      </c>
      <c r="B3" s="0" t="s">
        <v>5</v>
      </c>
      <c r="C3" s="2"/>
    </row>
    <row r="4" customFormat="false" ht="15" hidden="false" customHeight="false" outlineLevel="0" collapsed="false">
      <c r="A4" s="0" t="s">
        <v>6</v>
      </c>
      <c r="B4" s="0" t="s">
        <v>7</v>
      </c>
      <c r="C4" s="2"/>
    </row>
    <row r="5" customFormat="false" ht="15" hidden="false" customHeight="false" outlineLevel="0" collapsed="false">
      <c r="A5" s="0" t="s">
        <v>8</v>
      </c>
      <c r="B5" s="0" t="s">
        <v>9</v>
      </c>
      <c r="C5" s="2"/>
    </row>
    <row r="6" customFormat="false" ht="15" hidden="false" customHeight="false" outlineLevel="0" collapsed="false">
      <c r="A6" s="0" t="s">
        <v>10</v>
      </c>
      <c r="C6" s="2" t="s">
        <v>11</v>
      </c>
    </row>
    <row r="7" customFormat="false" ht="15" hidden="false" customHeight="false" outlineLevel="0" collapsed="false">
      <c r="A7" s="0" t="s">
        <v>12</v>
      </c>
      <c r="C7" s="2"/>
    </row>
    <row r="8" customFormat="false" ht="15" hidden="false" customHeight="false" outlineLevel="0" collapsed="false">
      <c r="A8" s="0" t="s">
        <v>13</v>
      </c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1" t="s">
        <v>14</v>
      </c>
      <c r="B10" s="1" t="s">
        <v>1</v>
      </c>
      <c r="C10" s="3" t="s">
        <v>15</v>
      </c>
    </row>
    <row r="11" customFormat="false" ht="15" hidden="false" customHeight="false" outlineLevel="0" collapsed="false">
      <c r="A11" s="0" t="s">
        <v>16</v>
      </c>
      <c r="B11" s="0" t="n">
        <v>50000</v>
      </c>
      <c r="C11" s="2" t="s">
        <v>17</v>
      </c>
    </row>
    <row r="12" customFormat="false" ht="15" hidden="false" customHeight="false" outlineLevel="0" collapsed="false">
      <c r="A12" s="0" t="s">
        <v>18</v>
      </c>
      <c r="B12" s="0" t="n">
        <v>0.04</v>
      </c>
      <c r="C12" s="2" t="s">
        <v>19</v>
      </c>
    </row>
    <row r="13" customFormat="false" ht="15" hidden="false" customHeight="false" outlineLevel="0" collapsed="false">
      <c r="A13" s="0" t="s">
        <v>20</v>
      </c>
      <c r="B13" s="0" t="n">
        <v>10</v>
      </c>
      <c r="C13" s="2" t="s">
        <v>21</v>
      </c>
    </row>
    <row r="14" customFormat="false" ht="15" hidden="false" customHeight="false" outlineLevel="0" collapsed="false">
      <c r="A14" s="0" t="s">
        <v>22</v>
      </c>
      <c r="B14" s="0" t="s">
        <v>23</v>
      </c>
      <c r="C14" s="2" t="s">
        <v>24</v>
      </c>
    </row>
    <row r="15" customFormat="false" ht="15" hidden="false" customHeight="false" outlineLevel="0" collapsed="false">
      <c r="C15" s="2"/>
    </row>
    <row r="16" customFormat="false" ht="15" hidden="false" customHeight="false" outlineLevel="0" collapsed="false">
      <c r="A16" s="1" t="s">
        <v>25</v>
      </c>
      <c r="B16" s="1" t="s">
        <v>1</v>
      </c>
      <c r="C16" s="3" t="s">
        <v>26</v>
      </c>
      <c r="D16" s="1" t="s">
        <v>27</v>
      </c>
      <c r="E16" s="0" t="s">
        <v>28</v>
      </c>
    </row>
    <row r="17" customFormat="false" ht="15" hidden="false" customHeight="false" outlineLevel="0" collapsed="false">
      <c r="A17" s="0" t="s">
        <v>29</v>
      </c>
      <c r="B17" s="0" t="n">
        <f aca="false">principal_in_euro*interest_rate</f>
        <v>2000</v>
      </c>
      <c r="C17" s="2" t="n">
        <v>0.01</v>
      </c>
    </row>
    <row r="18" customFormat="false" ht="15" hidden="false" customHeight="false" outlineLevel="0" collapsed="false">
      <c r="A18" s="0" t="s">
        <v>30</v>
      </c>
      <c r="B18" s="0" t="n">
        <f aca="false">principal_in_euro*interest_rate</f>
        <v>2000</v>
      </c>
      <c r="C18" s="2" t="n">
        <v>0.01</v>
      </c>
      <c r="D18" s="0" t="s">
        <v>31</v>
      </c>
    </row>
    <row r="19" customFormat="false" ht="15" hidden="false" customHeight="false" outlineLevel="0" collapsed="false">
      <c r="A19" s="0" t="s">
        <v>32</v>
      </c>
      <c r="B19" s="0" t="n">
        <f aca="false">principal_in_euro*interest_rate</f>
        <v>2000</v>
      </c>
      <c r="C19" s="2" t="n">
        <v>0.01</v>
      </c>
    </row>
    <row r="20" customFormat="false" ht="15" hidden="false" customHeight="false" outlineLevel="0" collapsed="false">
      <c r="A20" s="0" t="s">
        <v>33</v>
      </c>
      <c r="B20" s="0" t="n">
        <v>0</v>
      </c>
      <c r="C20" s="2" t="n">
        <v>0.01</v>
      </c>
      <c r="D20" s="0" t="s">
        <v>34</v>
      </c>
    </row>
    <row r="21" customFormat="false" ht="15" hidden="false" customHeight="false" outlineLevel="0" collapsed="false">
      <c r="A21" s="0" t="s">
        <v>35</v>
      </c>
      <c r="B21" s="0" t="n">
        <f aca="false">principal_in_euro</f>
        <v>50000</v>
      </c>
      <c r="C21" s="2" t="n">
        <v>0.01</v>
      </c>
      <c r="D21" s="0" t="s">
        <v>36</v>
      </c>
    </row>
    <row r="22" customFormat="false" ht="15" hidden="false" customHeight="false" outlineLevel="0" collapsed="false">
      <c r="A22" s="0" t="s">
        <v>37</v>
      </c>
      <c r="B22" s="0" t="n">
        <f aca="false">principal_in_euro</f>
        <v>50000</v>
      </c>
      <c r="C22" s="2" t="n">
        <v>0.01</v>
      </c>
    </row>
    <row r="23" customFormat="false" ht="15" hidden="false" customHeight="false" outlineLevel="0" collapsed="false">
      <c r="A23" s="0" t="s">
        <v>38</v>
      </c>
      <c r="B23" s="0" t="n">
        <f aca="false">principal_in_euro-principal_repayment_year_10_in_euro</f>
        <v>0</v>
      </c>
      <c r="C23" s="2" t="n">
        <v>0.01</v>
      </c>
    </row>
    <row r="24" customFormat="false" ht="15" hidden="false" customHeight="false" outlineLevel="0" collapsed="false">
      <c r="A24" s="0" t="s">
        <v>39</v>
      </c>
      <c r="B24" s="0" t="n">
        <f aca="false">principal_in_euro*interest_rate*duration_in_years</f>
        <v>20000</v>
      </c>
      <c r="C24" s="2" t="n">
        <v>0.01</v>
      </c>
    </row>
    <row r="25" customFormat="false" ht="15" hidden="false" customHeight="false" outlineLevel="0" collapsed="false">
      <c r="A25" s="0" t="s">
        <v>40</v>
      </c>
      <c r="B25" s="0" t="n">
        <f aca="false">total_interest_in_euro+principal_in_euro</f>
        <v>70000</v>
      </c>
      <c r="C25" s="2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2026-08-12T10:21:23Z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