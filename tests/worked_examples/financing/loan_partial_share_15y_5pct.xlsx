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ity_in_euro" vbProcedure="false">Example!$B$18</definedName>
    <definedName function="false" hidden="false" name="duration_in_years" vbProcedure="false">Example!$B$14</definedName>
    <definedName function="false" hidden="false" name="financed_share" vbProcedure="false">Example!$B$12</definedName>
    <definedName function="false" hidden="false" name="interest_rate" vbProcedure="false">Example!$B$13</definedName>
    <definedName function="false" hidden="false" name="interest_year_1_in_euro" vbProcedure="false">Example!$B$19</definedName>
    <definedName function="false" hidden="false" name="loan_type" vbProcedure="false">Example!$B$15</definedName>
    <definedName function="false" hidden="false" name="net_investment_in_euro" vbProcedure="false">Example!$B$11</definedName>
    <definedName function="false" hidden="false" name="principal_in_euro" vbProcedure="false">Example!$B$17</definedName>
    <definedName function="false" hidden="false" name="remaining_debt_year_10_in_euro" vbProcedure="false">Example!$B$21</definedName>
    <definedName function="false" hidden="false" name="remaining_debt_year_5_in_euro" vbProcedure="false">Example!$B$20</definedName>
    <definedName function="false" hidden="false" name="total_interest_in_euro" vbProcedure="false">Example!$B$22</definedName>
    <definedName function="false" hidden="false" name="total_payments_in_euro" vbProcedure="false">Example!$B$23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<sst xmlns="http://schemas.openxmlformats.org/spreadsheetml/2006/main" count="41" uniqueCount="39">
  <si>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METADATA</t>
  </si>
  <si>
    <t xml:space="preserve">value</t>
  </si>
  <si>
    <t xml:space="preserve">name</t>
  </si>
  <si>
    <t xml:space="preserve">loan_partial_share_15y_5pct</t>
  </si>
  <si>
    <t xml:space="preserve">spec_section</t>
  </si>
  <si>
    <t xml:space="preserve">4.4</t>
  </si>
  <si>
    <t xml:space="preserve">computed_by</t>
  </si>
  <si>
    <t xml:space="preserve">Claude draft + LibreOffice recalculation, 2026-08-12</t>
  </si>
  <si>
    <t xml:space="preserve">description</t>
  </si>
  <si>
    <t xml:space="preserve">A 30,000 EUR investment of which 60 % is financed: the loan principal is the financed share of the net investment, and the 15-year annuity at 5 % is computed on that principal alone. The remaining 40 % is paid from equity and never enters the loan schedule.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</si>
  <si>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</si>
  <si>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</si>
  <si>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</si>
  <si>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</si>
  <si>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</si>
  <si>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</si>
  <si>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net_investment_in_euro</t>
  </si>
  <si>
    <t xml:space="preserve">year-0 net investment after subsidies</t>
  </si>
  <si>
    <t xml:space="preserve">financed_share</t>
  </si>
  <si>
    <t xml:space="preserve">FinancingPlan.financed_share</t>
  </si>
  <si>
    <t xml:space="preserve">interest_rate</t>
  </si>
  <si>
    <t xml:space="preserve">nominal annual interest rate</t>
  </si>
  <si>
    <t xml:space="preserve">duration_in_years</t>
  </si>
  <si>
    <t xml:space="preserve">loan term</t>
  </si>
  <si>
    <t xml:space="preserve">loan_type</t>
  </si>
  <si>
    <t xml:space="preserve">ANNUITY</t>
  </si>
  <si>
    <t xml:space="preserve">FinancingPlan.type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</si>
  <si>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</si>
  <si>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</si>
  <si>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</si>
  <si>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</si>
  <si>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principal_in_euro</t>
  </si>
  <si>
    <t xml:space="preserve">annuity_in_euro</t>
  </si>
  <si>
    <t xml:space="preserve">interest_year_1_in_euro</t>
  </si>
  <si>
    <t xml:space="preserve">remaining_debt_year_5_in_euro</t>
  </si>
  <si>
    <t xml:space="preserve">closed-form remaining debt: compounded principal minus the future value of five annuities</t>
  </si>
  <si>
    <t xml:space="preserve">remaining_debt_year_10_in_euro</t>
  </si>
  <si>
    <t xml:space="preserve">total_interest_in_euro</t>
  </si>
  <si>
    <t xml:space="preserve">total_payments_in_euro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</si>
</sst>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n">
        <v>30000</v>
      </c>
      <c r="C11" s="3" t="s">
        <v>17</v>
      </c>
    </row>
    <row r="12" customFormat="false" ht="15" hidden="false" customHeight="true" outlineLevel="0" collapsed="false">
      <c r="A12" s="1" t="s">
        <v>18</v>
      </c>
      <c r="B12" s="1" t="n">
        <v>0.6</v>
      </c>
      <c r="C12" s="3" t="s">
        <v>19</v>
      </c>
    </row>
    <row r="13" customFormat="false" ht="15" hidden="false" customHeight="true" outlineLevel="0" collapsed="false">
      <c r="A13" s="1" t="s">
        <v>20</v>
      </c>
      <c r="B13" s="1" t="n">
        <v>0.05</v>
      </c>
      <c r="C13" s="3" t="s">
        <v>21</v>
      </c>
    </row>
    <row r="14" customFormat="false" ht="15" hidden="false" customHeight="true" outlineLevel="0" collapsed="false">
      <c r="A14" s="1" t="s">
        <v>22</v>
      </c>
      <c r="B14" s="1" t="n">
        <v>15</v>
      </c>
      <c r="C14" s="3" t="s">
        <v>23</v>
      </c>
    </row>
    <row r="15" customFormat="false" ht="15" hidden="false" customHeight="true" outlineLevel="0" collapsed="false">
      <c r="A15" s="1" t="s">
        <v>24</v>
      </c>
      <c r="B15" s="1" t="s">
        <v>25</v>
      </c>
      <c r="C15" s="3" t="s">
        <v>26</v>
      </c>
    </row>
    <row r="16" customFormat="false" ht="15" hidden="false" customHeight="true" outlineLevel="0" collapsed="false">
      <c r="A16" s="2" t="s">
        <v>27</v>
      </c>
      <c r="B16" s="2" t="s">
        <v>1</v>
      </c>
      <c r="C16" s="4" t="s">
        <v>28</v>
      </c>
      <c r="D16" s="2" t="s">
        <v>29</v>
      </c>
      <c r="E16" s="1" t="s">
        <v>30</v>
      </c>
    </row>
    <row r="17" customFormat="false" ht="15" hidden="false" customHeight="true" outlineLevel="0" collapsed="false">
      <c r="A17" s="1" t="s">
        <v>31</v>
      </c>
      <c r="B17" s="1" t="n">
        <f aca="false">net_investment_in_euro*financed_share</f>
        <v>18000</v>
      </c>
      <c r="C17" s="3" t="n">
        <v>0.01</v>
      </c>
    </row>
    <row r="18" customFormat="false" ht="15" hidden="false" customHeight="true" outlineLevel="0" collapsed="false">
      <c r="A18" s="1" t="s">
        <v>32</v>
      </c>
      <c r="B18" s="1" t="n">
        <f aca="false">principal_in_euro*interest_rate*(1+interest_rate)^duration_in_years/((1+interest_rate)^duration_in_years-1)</f>
        <v>1734.1611769664</v>
      </c>
      <c r="C18" s="3" t="n">
        <v>0.01</v>
      </c>
    </row>
    <row r="19" customFormat="false" ht="15" hidden="false" customHeight="true" outlineLevel="0" collapsed="false">
      <c r="A19" s="1" t="s">
        <v>33</v>
      </c>
      <c r="B19" s="1" t="n">
        <f aca="false">principal_in_euro*interest_rate</f>
        <v>900</v>
      </c>
      <c r="C19" s="3" t="n">
        <v>0.01</v>
      </c>
    </row>
    <row r="20" customFormat="false" ht="15" hidden="false" customHeight="true" outlineLevel="0" collapsed="false">
      <c r="A20" s="1" t="s">
        <v>34</v>
      </c>
      <c r="B20" s="1" t="n">
        <f aca="false">principal_in_euro*(1+interest_rate)^5-annuity_in_euro*((1+interest_rate)^5-1)/interest_rate</f>
        <v>13390.7329330177</v>
      </c>
      <c r="C20" s="3" t="n">
        <v>0.01</v>
      </c>
      <c r="D20" s="1" t="s">
        <v>35</v>
      </c>
    </row>
    <row r="21" customFormat="false" ht="15" hidden="false" customHeight="true" outlineLevel="0" collapsed="false">
      <c r="A21" s="1" t="s">
        <v>36</v>
      </c>
      <c r="B21" s="1" t="n">
        <f aca="false">principal_in_euro*(1+interest_rate)^10-annuity_in_euro*((1+interest_rate)^10-1)/interest_rate</f>
        <v>7508.01035878971</v>
      </c>
      <c r="C21" s="3" t="n">
        <v>0.01</v>
      </c>
    </row>
    <row r="22" customFormat="false" ht="15" hidden="false" customHeight="true" outlineLevel="0" collapsed="false">
      <c r="A22" s="1" t="s">
        <v>37</v>
      </c>
      <c r="B22" s="1" t="n">
        <f aca="false">annuity_in_euro*duration_in_years-principal_in_euro</f>
        <v>8012.41765449597</v>
      </c>
      <c r="C22" s="3" t="n">
        <v>0.01</v>
      </c>
    </row>
    <row r="23" customFormat="false" ht="15" hidden="false" customHeight="true" outlineLevel="0" collapsed="false">
      <c r="A23" s="1" t="s">
        <v>38</v>
      </c>
      <c r="B23" s="1" t="n">
        <f aca="false">annuity_in_euro*duration_in_years</f>
        <v>26012.417654496</v>
      </c>
      <c r="C23" s="3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