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ity_in_euro" vbProcedure="false">Example!$B$16</definedName>
    <definedName function="false" hidden="false" name="annuity_via_pmt_in_euro" vbProcedure="false">Example!$B$17</definedName>
    <definedName function="false" hidden="false" name="duration_in_years" vbProcedure="false">Example!$B$13</definedName>
    <definedName function="false" hidden="false" name="interest_rate" vbProcedure="false">Example!$B$12</definedName>
    <definedName function="false" hidden="false" name="interest_year_1_in_euro" vbProcedure="false">Example!$B$18</definedName>
    <definedName function="false" hidden="false" name="principal_in_euro" vbProcedure="false">Example!$B$11</definedName>
    <definedName function="false" hidden="false" name="principal_repayment_year_1_in_euro" vbProcedure="false">Example!$B$19</definedName>
    <definedName function="false" hidden="false" name="remaining_debt_year_15_in_euro" vbProcedure="false">Example!$B$20</definedName>
    <definedName function="false" hidden="false" name="total_interest_in_euro" vbProcedure="false">Example!$B$21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<sst xmlns="http://schemas.openxmlformats.org/spreadsheetml/2006/main" count="35" uniqueCount="33">
  <si>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METADATA</t>
  </si>
  <si>
    <t xml:space="preserve">value</t>
  </si>
  <si>
    <t xml:space="preserve">name</t>
  </si>
  <si>
    <t xml:space="preserve">loan_soft_30y_1pct</t>
  </si>
  <si>
    <t xml:space="preserve">spec_section</t>
  </si>
  <si>
    <t xml:space="preserve">4.4</t>
  </si>
  <si>
    <t xml:space="preserve">computed_by</t>
  </si>
  <si>
    <t xml:space="preserve">Claude draft + LibreOffice recalculation, 2026-08-12</t>
  </si>
  <si>
    <t xml:space="preserve">description</t>
  </si>
  <si>
    <t xml:space="preserve">100,000 EUR promotional loan over 30 years at 1 %. A long term and a low rate make the annuity barely larger than pure amortization; the closed-form remaining debt after 15 years is still more than half the principal because early payments are interest-heavy.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</si>
  <si>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</si>
  <si>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</si>
  <si>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</si>
  <si>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</si>
  <si>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</si>
  <si>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</si>
  <si>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principal_in_euro</t>
  </si>
  <si>
    <t xml:space="preserve">financed amount</t>
  </si>
  <si>
    <t xml:space="preserve">interest_rate</t>
  </si>
  <si>
    <t xml:space="preserve">promotional interest rate</t>
  </si>
  <si>
    <t xml:space="preserve">duration_in_years</t>
  </si>
  <si>
    <t xml:space="preserve">loan term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</si>
  <si>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</si>
  <si>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</si>
  <si>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</si>
  <si>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</si>
  <si>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annuity_in_euro</t>
  </si>
  <si>
    <t xml:space="preserve">annuity_via_pmt_in_euro</t>
  </si>
  <si>
    <t xml:space="preserve">Excel's finance library as the independent second implementation</t>
  </si>
  <si>
    <t xml:space="preserve">interest_year_1_in_euro</t>
  </si>
  <si>
    <t xml:space="preserve">principal_repayment_year_1_in_euro</t>
  </si>
  <si>
    <t xml:space="preserve">remaining_debt_year_15_in_euro</t>
  </si>
  <si>
    <t xml:space="preserve">total_interest_in_euro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</si>
</sst>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100000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0.01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n">
        <v>30</v>
      </c>
      <c r="C13" s="3" t="s">
        <v>21</v>
      </c>
    </row>
    <row r="14" customFormat="false" ht="15" hidden="false" customHeight="true" outlineLevel="0" collapsed="false">
      <c r="C14" s="3"/>
    </row>
    <row r="15" customFormat="false" ht="15" hidden="false" customHeight="true" outlineLevel="0" collapsed="false">
      <c r="A15" s="2" t="s">
        <v>22</v>
      </c>
      <c r="B15" s="2" t="s">
        <v>1</v>
      </c>
      <c r="C15" s="4" t="s">
        <v>23</v>
      </c>
      <c r="D15" s="2" t="s">
        <v>24</v>
      </c>
      <c r="E15" s="1" t="s">
        <v>25</v>
      </c>
    </row>
    <row r="16" customFormat="false" ht="15" hidden="false" customHeight="true" outlineLevel="0" collapsed="false">
      <c r="A16" s="1" t="s">
        <v>26</v>
      </c>
      <c r="B16" s="1" t="n">
        <f aca="false">principal_in_euro*interest_rate*(1+interest_rate)^duration_in_years/((1+interest_rate)^duration_in_years-1)</f>
        <v>3874.81132158471</v>
      </c>
      <c r="C16" s="3" t="n">
        <v>0.01</v>
      </c>
    </row>
    <row r="17" customFormat="false" ht="15" hidden="false" customHeight="true" outlineLevel="0" collapsed="false">
      <c r="A17" s="1" t="s">
        <v>27</v>
      </c>
      <c r="B17" s="1" t="n">
        <f aca="false">-PMT(interest_rate,duration_in_years,principal_in_euro)</f>
        <v>3874.81132158471</v>
      </c>
      <c r="C17" s="3" t="n">
        <v>0.01</v>
      </c>
      <c r="D17" s="1" t="s">
        <v>28</v>
      </c>
    </row>
    <row r="18" customFormat="false" ht="15" hidden="false" customHeight="true" outlineLevel="0" collapsed="false">
      <c r="A18" s="1" t="s">
        <v>29</v>
      </c>
      <c r="B18" s="1" t="n">
        <f aca="false">principal_in_euro*interest_rate</f>
        <v>1000</v>
      </c>
      <c r="C18" s="3" t="n">
        <v>0.01</v>
      </c>
    </row>
    <row r="19" customFormat="false" ht="15" hidden="false" customHeight="true" outlineLevel="0" collapsed="false">
      <c r="A19" s="1" t="s">
        <v>30</v>
      </c>
      <c r="B19" s="1" t="n">
        <f aca="false">annuity_in_euro-interest_year_1_in_euro</f>
        <v>2874.81132158471</v>
      </c>
      <c r="C19" s="3" t="n">
        <v>0.01</v>
      </c>
    </row>
    <row r="20" customFormat="false" ht="15" hidden="false" customHeight="true" outlineLevel="0" collapsed="false">
      <c r="A20" s="1" t="s">
        <v>31</v>
      </c>
      <c r="B20" s="1" t="n">
        <f aca="false">principal_in_euro*(1+interest_rate)^15-annuity_in_euro*((1+interest_rate)^15-1)/interest_rate</f>
        <v>53724.4624678664</v>
      </c>
      <c r="C20" s="3" t="n">
        <v>0.01</v>
      </c>
    </row>
    <row r="21" customFormat="false" ht="15" hidden="false" customHeight="true" outlineLevel="0" collapsed="false">
      <c r="A21" s="1" t="s">
        <v>32</v>
      </c>
      <c r="B21" s="1" t="n">
        <f aca="false">annuity_in_euro*duration_in_years-principal_in_euro</f>
        <v>16244.3396475413</v>
      </c>
      <c r="C21" s="3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