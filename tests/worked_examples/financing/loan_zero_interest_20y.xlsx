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Example" sheetId="1" state="visible" r:id="rId3"/>
  </sheets>
  <definedNames>
    <definedName function="false" hidden="false" name="annuity_in_euro" vbProcedure="false">Example!$B$16</definedName>
    <definedName function="false" hidden="false" name="duration_in_years" vbProcedure="false">Example!$B$13</definedName>
    <definedName function="false" hidden="false" name="interest_rate" vbProcedure="false">Example!$B$12</definedName>
    <definedName function="false" hidden="false" name="interest_year_1_in_euro" vbProcedure="false">Example!$B$17</definedName>
    <definedName function="false" hidden="false" name="interest_year_20_in_euro" vbProcedure="false">Example!$B$18</definedName>
    <definedName function="false" hidden="false" name="principal_in_euro" vbProcedure="false">Example!$B$11</definedName>
    <definedName function="false" hidden="false" name="principal_repayment_year_1_in_euro" vbProcedure="false">Example!$B$19</definedName>
    <definedName function="false" hidden="false" name="remaining_debt_year_10_in_euro" vbProcedure="false">Example!$B$20</definedName>
    <definedName function="false" hidden="false" name="remaining_debt_year_20_in_euro" vbProcedure="false">Example!$B$21</definedName>
    <definedName function="false" hidden="false" name="total_interest_in_euro" vbProcedure="false">Example!$B$22</definedName>
    <definedName function="false" hidden="false" name="total_payments_in_euro" vbProcedure="false">Example!$B$23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<sst xmlns="http://schemas.openxmlformats.org/spreadsheetml/2006/main" count="37" uniqueCount="35">
  <si>
    <t xml:space="preserve">METADATA</t>
  </si>
  <si>
    <t xml:space="preserve">value</t>
  </si>
  <si>
    <t xml:space="preserve">name</t>
  </si>
  <si>
    <t xml:space="preserve">loan_zero_interest_20y</t>
  </si>
  <si>
    <t xml:space="preserve">spec_section</t>
  </si>
  <si>
    <t xml:space="preserve">4.4</t>
  </si>
  <si>
    <t xml:space="preserve">computed_by</t>
  </si>
  <si>
    <t xml:space="preserve">Claude draft + LibreOffice recalculation, 2026-08-12</t>
  </si>
  <si>
    <t xml:space="preserve">description</t>
  </si>
  <si>
    <t xml:space="preserve">24,000 EUR interest-free loan over 20 years. With a zero rate the annuity degenerates to the principal divided by the term, no interest accrues at all, and the remaining debt falls linearly, so half the debt is left after ten years.</t>
  </si>
  <si>
    <t xml:space="preserve">reviewed_by</t>
  </si>
  <si>
    <t xml:space="preserve">reviewer name; empty until a human attested this revision (§3.8)</t>
  </si>
  <si>
    <t xml:space="preserve">review_date</t>
  </si>
  <si>
    <t xml:space="preserve">reviewed_fingerprint</t>
  </si>
  <si>
    <t xml:space="preserve">INPUTS</t>
  </si>
  <si>
    <t xml:space="preserve">comment</t>
  </si>
  <si>
    <t xml:space="preserve">principal_in_euro</t>
  </si>
  <si>
    <t xml:space="preserve">financed amount</t>
  </si>
  <si>
    <t xml:space="preserve">interest_rate</t>
  </si>
  <si>
    <t xml:space="preserve">interest-free family loan</t>
  </si>
  <si>
    <t xml:space="preserve">duration_in_years</t>
  </si>
  <si>
    <t xml:space="preserve">loan term</t>
  </si>
  <si>
    <t xml:space="preserve">EXPECTED</t>
  </si>
  <si>
    <t xml:space="preserve">abs_tol</t>
  </si>
  <si>
    <t xml:space="preserve">note</t>
  </si>
  <si>
    <t xml:space="preserve">sign convention: cost positive, revenue / subsidy / residual value negative</t>
  </si>
  <si>
    <t xml:space="preserve">annuity_in_euro</t>
  </si>
  <si>
    <t xml:space="preserve">zero-rate branch: the annuity is pure amortization</t>
  </si>
  <si>
    <t xml:space="preserve">interest_year_1_in_euro</t>
  </si>
  <si>
    <t xml:space="preserve">interest_year_20_in_euro</t>
  </si>
  <si>
    <t xml:space="preserve">principal_repayment_year_1_in_euro</t>
  </si>
  <si>
    <t xml:space="preserve">remaining_debt_year_10_in_euro</t>
  </si>
  <si>
    <t xml:space="preserve">remaining_debt_year_20_in_euro</t>
  </si>
  <si>
    <t xml:space="preserve">total_interest_in_euro</t>
  </si>
  <si>
    <t xml:space="preserve">total_payments_in_euro</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</si>
</sst>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3" min="3" style="0" width="30"/>
    <col collapsed="false" customWidth="true" hidden="false" outlineLevel="0" max="4" min="4" style="0" width="60"/>
  </cols>
  <sheetData>
    <row r="1" customFormat="false" ht="15" hidden="false" customHeight="false" outlineLevel="0" collapsed="false">
      <c r="A1" s="1" t="s">
        <v>0</v>
      </c>
      <c r="B1" s="1" t="s">
        <v>1</v>
      </c>
      <c r="C1" s="2"/>
    </row>
    <row r="2" customFormat="false" ht="15" hidden="false" customHeight="false" outlineLevel="0" collapsed="false">
      <c r="A2" s="0" t="s">
        <v>2</v>
      </c>
      <c r="B2" s="0" t="s">
        <v>3</v>
      </c>
      <c r="C2" s="2"/>
    </row>
    <row r="3" customFormat="false" ht="15" hidden="false" customHeight="false" outlineLevel="0" collapsed="false">
      <c r="A3" s="0" t="s">
        <v>4</v>
      </c>
      <c r="B3" s="0" t="s">
        <v>5</v>
      </c>
      <c r="C3" s="2"/>
    </row>
    <row r="4" customFormat="false" ht="15" hidden="false" customHeight="false" outlineLevel="0" collapsed="false">
      <c r="A4" s="0" t="s">
        <v>6</v>
      </c>
      <c r="B4" s="0" t="s">
        <v>7</v>
      </c>
      <c r="C4" s="2"/>
    </row>
    <row r="5" customFormat="false" ht="15" hidden="false" customHeight="false" outlineLevel="0" collapsed="false">
      <c r="A5" s="0" t="s">
        <v>8</v>
      </c>
      <c r="B5" s="0" t="s">
        <v>9</v>
      </c>
      <c r="C5" s="2"/>
    </row>
    <row r="6" customFormat="false" ht="15" hidden="false" customHeight="false" outlineLevel="0" collapsed="false">
      <c r="A6" s="0" t="s">
        <v>10</v>
      </c>
      <c r="C6" s="2" t="s">
        <v>11</v>
      </c>
    </row>
    <row r="7" customFormat="false" ht="15" hidden="false" customHeight="false" outlineLevel="0" collapsed="false">
      <c r="A7" s="0" t="s">
        <v>12</v>
      </c>
      <c r="C7" s="2"/>
    </row>
    <row r="8" customFormat="false" ht="15" hidden="false" customHeight="false" outlineLevel="0" collapsed="false">
      <c r="A8" s="0" t="s">
        <v>13</v>
      </c>
      <c r="C8" s="2"/>
    </row>
    <row r="9" customFormat="false" ht="15" hidden="false" customHeight="false" outlineLevel="0" collapsed="false">
      <c r="C9" s="2"/>
    </row>
    <row r="10" customFormat="false" ht="15" hidden="false" customHeight="false" outlineLevel="0" collapsed="false">
      <c r="A10" s="1" t="s">
        <v>14</v>
      </c>
      <c r="B10" s="1" t="s">
        <v>1</v>
      </c>
      <c r="C10" s="3" t="s">
        <v>15</v>
      </c>
    </row>
    <row r="11" customFormat="false" ht="15" hidden="false" customHeight="false" outlineLevel="0" collapsed="false">
      <c r="A11" s="0" t="s">
        <v>16</v>
      </c>
      <c r="B11" s="0" t="n">
        <v>24000</v>
      </c>
      <c r="C11" s="2" t="s">
        <v>17</v>
      </c>
    </row>
    <row r="12" customFormat="false" ht="15" hidden="false" customHeight="false" outlineLevel="0" collapsed="false">
      <c r="A12" s="0" t="s">
        <v>18</v>
      </c>
      <c r="B12" s="0" t="n">
        <v>0</v>
      </c>
      <c r="C12" s="2" t="s">
        <v>19</v>
      </c>
    </row>
    <row r="13" customFormat="false" ht="15" hidden="false" customHeight="false" outlineLevel="0" collapsed="false">
      <c r="A13" s="0" t="s">
        <v>20</v>
      </c>
      <c r="B13" s="0" t="n">
        <v>20</v>
      </c>
      <c r="C13" s="2" t="s">
        <v>21</v>
      </c>
    </row>
    <row r="14" customFormat="false" ht="15" hidden="false" customHeight="false" outlineLevel="0" collapsed="false">
      <c r="C14" s="2"/>
    </row>
    <row r="15" customFormat="false" ht="15" hidden="false" customHeight="false" outlineLevel="0" collapsed="false">
      <c r="A15" s="1" t="s">
        <v>22</v>
      </c>
      <c r="B15" s="1" t="s">
        <v>1</v>
      </c>
      <c r="C15" s="3" t="s">
        <v>23</v>
      </c>
      <c r="D15" s="1" t="s">
        <v>24</v>
      </c>
      <c r="E15" s="0" t="s">
        <v>25</v>
      </c>
    </row>
    <row r="16" customFormat="false" ht="15" hidden="false" customHeight="false" outlineLevel="0" collapsed="false">
      <c r="A16" s="0" t="s">
        <v>26</v>
      </c>
      <c r="B16" s="0" t="n">
        <f aca="false">principal_in_euro/duration_in_years</f>
        <v>1200</v>
      </c>
      <c r="C16" s="2" t="n">
        <v>0.01</v>
      </c>
      <c r="D16" s="0" t="s">
        <v>27</v>
      </c>
    </row>
    <row r="17" customFormat="false" ht="15" hidden="false" customHeight="false" outlineLevel="0" collapsed="false">
      <c r="A17" s="0" t="s">
        <v>28</v>
      </c>
      <c r="B17" s="0" t="n">
        <f aca="false">principal_in_euro*interest_rate</f>
        <v>0</v>
      </c>
      <c r="C17" s="2" t="n">
        <v>0.01</v>
      </c>
    </row>
    <row r="18" customFormat="false" ht="15" hidden="false" customHeight="false" outlineLevel="0" collapsed="false">
      <c r="A18" s="0" t="s">
        <v>29</v>
      </c>
      <c r="B18" s="0" t="n">
        <f aca="false">principal_in_euro*interest_rate</f>
        <v>0</v>
      </c>
      <c r="C18" s="2" t="n">
        <v>0.01</v>
      </c>
    </row>
    <row r="19" customFormat="false" ht="15" hidden="false" customHeight="false" outlineLevel="0" collapsed="false">
      <c r="A19" s="0" t="s">
        <v>30</v>
      </c>
      <c r="B19" s="0" t="n">
        <f aca="false">principal_in_euro/duration_in_years</f>
        <v>1200</v>
      </c>
      <c r="C19" s="2" t="n">
        <v>0.01</v>
      </c>
    </row>
    <row r="20" customFormat="false" ht="15" hidden="false" customHeight="false" outlineLevel="0" collapsed="false">
      <c r="A20" s="0" t="s">
        <v>31</v>
      </c>
      <c r="B20" s="0" t="n">
        <f aca="false">principal_in_euro-annuity_in_euro*10</f>
        <v>12000</v>
      </c>
      <c r="C20" s="2" t="n">
        <v>0.01</v>
      </c>
    </row>
    <row r="21" customFormat="false" ht="15" hidden="false" customHeight="false" outlineLevel="0" collapsed="false">
      <c r="A21" s="0" t="s">
        <v>32</v>
      </c>
      <c r="B21" s="0" t="n">
        <f aca="false">principal_in_euro-annuity_in_euro*duration_in_years</f>
        <v>0</v>
      </c>
      <c r="C21" s="2" t="n">
        <v>0.01</v>
      </c>
    </row>
    <row r="22" customFormat="false" ht="15" hidden="false" customHeight="false" outlineLevel="0" collapsed="false">
      <c r="A22" s="0" t="s">
        <v>33</v>
      </c>
      <c r="B22" s="0" t="n">
        <f aca="false">interest_year_1_in_euro*duration_in_years</f>
        <v>0</v>
      </c>
      <c r="C22" s="2" t="n">
        <v>0.01</v>
      </c>
    </row>
    <row r="23" customFormat="false" ht="15" hidden="false" customHeight="false" outlineLevel="0" collapsed="false">
      <c r="A23" s="0" t="s">
        <v>34</v>
      </c>
      <c r="B23" s="0" t="n">
        <f aca="false">annuity_in_euro*duration_in_years</f>
        <v>24000</v>
      </c>
      <c r="C23" s="2" t="n">
        <v>0.01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2026-08-12T10:21:23Z</dcterms:created>
  <dc:creator>openpyxl</dc:creator>
  <dc:description/>
  <dc:language>en-US</dc:language>
  <cp:lastModifiedBy/>
  <dcterms:modified xsi:type="dcterms:W3CDTF">2026-08-12T10:21:23Z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