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combined_rate_cap" vbProcedure="false">Example!$B$14</definedName>
    <definedName function="false" hidden="false" name="cumulation_group" vbProcedure="false">Example!$B$13</definedName>
    <definedName function="false" hidden="false" name="effective_support_share" vbProcedure="false">Example!$B$26</definedName>
    <definedName function="false" hidden="false" name="interest_rate" vbProcedure="false">Example!$B$12</definedName>
    <definedName function="false" hidden="false" name="measure_cost_in_euro" vbProcedure="false">Example!$B$11</definedName>
    <definedName function="false" hidden="false" name="scheme_a_award_in_euro" vbProcedure="false">Example!$B$23</definedName>
    <definedName function="false" hidden="false" name="scheme_a_benefit_kind" vbProcedure="false">Example!$B$15</definedName>
    <definedName function="false" hidden="false" name="scheme_a_payout_kind" vbProcedure="false">Example!$B$16</definedName>
    <definedName function="false" hidden="false" name="scheme_a_rate" vbProcedure="false">Example!$B$17</definedName>
    <definedName function="false" hidden="false" name="scheme_b_award_in_euro" vbProcedure="false">Example!$B$24</definedName>
    <definedName function="false" hidden="false" name="scheme_b_benefit_kind" vbProcedure="false">Example!$B$18</definedName>
    <definedName function="false" hidden="false" name="scheme_b_payout_kind" vbProcedure="false">Example!$B$19</definedName>
    <definedName function="false" hidden="false" name="scheme_b_rate" vbProcedure="false">Example!$B$20</definedName>
    <definedName function="false" hidden="false" name="support_ledger_npv_in_euro" vbProcedure="false">Example!$B$28</definedName>
    <definedName function="false" hidden="false" name="support_npv_in_euro" vbProcedure="false">Example!$B$27</definedName>
    <definedName function="false" hidden="false" name="total_upfront_award_in_euro" vbProcedure="false">Example!$B$25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<sst xmlns="http://schemas.openxmlformats.org/spreadsheetml/2006/main" count="57" uniqueCount="52">
  <si>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METADATA</t>
  </si>
  <si>
    <t xml:space="preserve">value</t>
  </si>
  <si>
    <t xml:space="preserve">name</t>
  </si>
  <si>
    <t xml:space="preserve">combined_rate_cap_pro_rata</t>
  </si>
  <si>
    <t xml:space="preserve">spec_section</t>
  </si>
  <si>
    <t xml:space="preserve">5.4</t>
  </si>
  <si>
    <t xml:space="preserve">computed_by</t>
  </si>
  <si>
    <t xml:space="preserve">Claude draft + LibreOffice recalculation, 2026-08-12</t>
  </si>
  <si>
    <t xml:space="preserve">description</t>
  </si>
  <si>
    <t xml:space="preserve">Two share-based schemes in one cumulation group ask for 30 % and 20 % of the same 20,000 EUR measure cost, but the group's combined rate is capped at 40 %. Both rates are scaled down pro rata by the same factor 0.40/0.50, so each scheme keeps its relative weight and the sum hits the cap exactly.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</si>
  <si>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</si>
  <si>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</si>
  <si>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</si>
  <si>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</si>
  <si>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</si>
  <si>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</si>
  <si>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measure_cost_in_euro</t>
  </si>
  <si>
    <t xml:space="preserve">gross investment of the measure</t>
  </si>
  <si>
    <t xml:space="preserve">interest_rate</t>
  </si>
  <si>
    <t xml:space="preserve">the runner's solver objective requires a discount rate; it has no effect here, both awards being upfront grants at year 0</t>
  </si>
  <si>
    <t xml:space="preserve">cumulation_group</t>
  </si>
  <si>
    <t xml:space="preserve">worked_example_group</t>
  </si>
  <si>
    <t xml:space="preserve">shared cumulation group of both schemes</t>
  </si>
  <si>
    <t xml:space="preserve">combined_rate_cap</t>
  </si>
  <si>
    <t xml:space="preserve">maximum combined rate of the group</t>
  </si>
  <si>
    <t xml:space="preserve">scheme_a_benefit_kind</t>
  </si>
  <si>
    <t xml:space="preserve">SHARE_OF_ELIGIBLE_COST</t>
  </si>
  <si>
    <t xml:space="preserve">BenefitKind</t>
  </si>
  <si>
    <t xml:space="preserve">scheme_a_payout_kind</t>
  </si>
  <si>
    <t xml:space="preserve">UPFRONT_GRANT</t>
  </si>
  <si>
    <t xml:space="preserve">PayoutKind</t>
  </si>
  <si>
    <t xml:space="preserve">scheme_a_rate</t>
  </si>
  <si>
    <t xml:space="preserve">base grant rate</t>
  </si>
  <si>
    <t xml:space="preserve">scheme_b_benefit_kind</t>
  </si>
  <si>
    <t xml:space="preserve">BONUS_SHARE</t>
  </si>
  <si>
    <t xml:space="preserve">scheme_b_payout_kind</t>
  </si>
  <si>
    <t xml:space="preserve">scheme_b_rate</t>
  </si>
  <si>
    <t xml:space="preserve">bonus rate</t>
  </si>
  <si>
    <t xml:space="preserve">EXPECTED</t>
  </si>
  <si>
    <t xml:space="preserve">abs_tol</t>
  </si>
  <si>
    <t xml:space="preserve">note</t>
  </si>
  <si>
    <t xml:space="preserve">sign convention: solver quantities are award magnitudes (positive); they enter the ledger as negative cost via as_revenue() (§3.9)</t>
  </si>
  <si>
    <t xml:space="preserve">scheme_a_award_in_euro</t>
  </si>
  <si>
    <t xml:space="preserve">the group rate is scaled down pro rata to the cap</t>
  </si>
  <si>
    <t xml:space="preserve">scheme_b_award_in_euro</t>
  </si>
  <si>
    <t xml:space="preserve">total_upfront_award_in_euro</t>
  </si>
  <si>
    <t xml:space="preserve">effective_support_share</t>
  </si>
  <si>
    <t xml:space="preserve">equals the combined rate cap</t>
  </si>
  <si>
    <t xml:space="preserve">support_npv_in_euro</t>
  </si>
  <si>
    <t xml:space="preserve">both awards are upfront grants paid at year 0, so the support NPV is their sum, undiscounted</t>
  </si>
  <si>
    <t xml:space="preserve">support_ledger_npv_in_euro</t>
  </si>
  <si>
    <t xml:space="preserve">the same support as it lands on the ledger: negative cost (§3.9)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</si>
</sst>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20000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0.03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s">
        <v>21</v>
      </c>
      <c r="C13" s="3" t="s">
        <v>22</v>
      </c>
    </row>
    <row r="14" customFormat="false" ht="15" hidden="false" customHeight="true" outlineLevel="0" collapsed="false">
      <c r="A14" s="1" t="s">
        <v>23</v>
      </c>
      <c r="B14" s="1" t="n">
        <v>0.4</v>
      </c>
      <c r="C14" s="3" t="s">
        <v>24</v>
      </c>
    </row>
    <row r="15" customFormat="false" ht="15" hidden="false" customHeight="true" outlineLevel="0" collapsed="false">
      <c r="A15" s="1" t="s">
        <v>25</v>
      </c>
      <c r="B15" s="1" t="s">
        <v>26</v>
      </c>
      <c r="C15" s="3" t="s">
        <v>27</v>
      </c>
    </row>
    <row r="16" customFormat="false" ht="15" hidden="false" customHeight="true" outlineLevel="0" collapsed="false">
      <c r="A16" s="1" t="s">
        <v>28</v>
      </c>
      <c r="B16" s="1" t="s">
        <v>29</v>
      </c>
      <c r="C16" s="3" t="s">
        <v>30</v>
      </c>
    </row>
    <row r="17" customFormat="false" ht="15" hidden="false" customHeight="true" outlineLevel="0" collapsed="false">
      <c r="A17" s="1" t="s">
        <v>31</v>
      </c>
      <c r="B17" s="1" t="n">
        <v>0.3</v>
      </c>
      <c r="C17" s="3" t="s">
        <v>32</v>
      </c>
    </row>
    <row r="18" customFormat="false" ht="15" hidden="false" customHeight="true" outlineLevel="0" collapsed="false">
      <c r="A18" s="1" t="s">
        <v>33</v>
      </c>
      <c r="B18" s="1" t="s">
        <v>34</v>
      </c>
      <c r="C18" s="3" t="s">
        <v>27</v>
      </c>
    </row>
    <row r="19" customFormat="false" ht="15" hidden="false" customHeight="true" outlineLevel="0" collapsed="false">
      <c r="A19" s="1" t="s">
        <v>35</v>
      </c>
      <c r="B19" s="1" t="s">
        <v>29</v>
      </c>
      <c r="C19" s="3" t="s">
        <v>30</v>
      </c>
    </row>
    <row r="20" customFormat="false" ht="15" hidden="false" customHeight="true" outlineLevel="0" collapsed="false">
      <c r="A20" s="1" t="s">
        <v>36</v>
      </c>
      <c r="B20" s="1" t="n">
        <v>0.2</v>
      </c>
      <c r="C20" s="3" t="s">
        <v>37</v>
      </c>
    </row>
    <row r="21" customFormat="false" ht="15" hidden="false" customHeight="true" outlineLevel="0" collapsed="false">
      <c r="C21" s="3"/>
    </row>
    <row r="22" customFormat="false" ht="15" hidden="false" customHeight="true" outlineLevel="0" collapsed="false">
      <c r="A22" s="2" t="s">
        <v>38</v>
      </c>
      <c r="B22" s="2" t="s">
        <v>1</v>
      </c>
      <c r="C22" s="4" t="s">
        <v>39</v>
      </c>
      <c r="D22" s="2" t="s">
        <v>40</v>
      </c>
      <c r="E22" s="1" t="s">
        <v>41</v>
      </c>
    </row>
    <row r="23" customFormat="false" ht="15" hidden="false" customHeight="true" outlineLevel="0" collapsed="false">
      <c r="A23" s="1" t="s">
        <v>42</v>
      </c>
      <c r="B23" s="1" t="n">
        <f aca="false">measure_cost_in_euro*scheme_a_rate*combined_rate_cap/(scheme_a_rate+scheme_b_rate)</f>
        <v>4800</v>
      </c>
      <c r="C23" s="3" t="n">
        <v>0.01</v>
      </c>
      <c r="D23" s="1" t="s">
        <v>43</v>
      </c>
    </row>
    <row r="24" customFormat="false" ht="15" hidden="false" customHeight="true" outlineLevel="0" collapsed="false">
      <c r="A24" s="1" t="s">
        <v>44</v>
      </c>
      <c r="B24" s="1" t="n">
        <f aca="false">measure_cost_in_euro*scheme_b_rate*combined_rate_cap/(scheme_a_rate+scheme_b_rate)</f>
        <v>3200</v>
      </c>
      <c r="C24" s="3" t="n">
        <v>0.01</v>
      </c>
    </row>
    <row r="25" customFormat="false" ht="15" hidden="false" customHeight="true" outlineLevel="0" collapsed="false">
      <c r="A25" s="1" t="s">
        <v>45</v>
      </c>
      <c r="B25" s="1" t="n">
        <f aca="false">scheme_a_award_in_euro+scheme_b_award_in_euro</f>
        <v>8000</v>
      </c>
      <c r="C25" s="3" t="n">
        <v>0.01</v>
      </c>
    </row>
    <row r="26" customFormat="false" ht="15" hidden="false" customHeight="true" outlineLevel="0" collapsed="false">
      <c r="A26" s="1" t="s">
        <v>46</v>
      </c>
      <c r="B26" s="1" t="n">
        <f aca="false">total_upfront_award_in_euro/measure_cost_in_euro</f>
        <v>0.4</v>
      </c>
      <c r="C26" s="3" t="n">
        <v>1E-006</v>
      </c>
      <c r="D26" s="1" t="s">
        <v>47</v>
      </c>
    </row>
    <row r="27" customFormat="false" ht="15" hidden="false" customHeight="false" outlineLevel="0" collapsed="false">
      <c r="A27" s="1" t="s">
        <v>48</v>
      </c>
      <c r="B27" s="1" t="n">
        <f aca="false">total_upfront_award_in_euro</f>
        <v>8000</v>
      </c>
      <c r="C27" s="1" t="n">
        <v>0.01</v>
      </c>
      <c r="D27" s="1" t="s">
        <v>49</v>
      </c>
    </row>
    <row r="28" customFormat="false" ht="15" hidden="false" customHeight="false" outlineLevel="0" collapsed="false">
      <c r="A28" s="1" t="s">
        <v>50</v>
      </c>
      <c r="B28" s="1" t="n">
        <f aca="false">-support_npv_in_euro</f>
        <v>-8000</v>
      </c>
      <c r="C28" s="1" t="n">
        <v>0.01</v>
      </c>
      <c r="D28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