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interest_rate" vbProcedure="false">Example!$B$12</definedName>
    <definedName function="false" hidden="false" name="measure_cost_in_euro" vbProcedure="false">Example!$B$11</definedName>
    <definedName function="false" hidden="false" name="scheme_a_benefit_kind" vbProcedure="false">Example!$B$13</definedName>
    <definedName function="false" hidden="false" name="scheme_a_excludes" vbProcedure="false">Example!$B$16</definedName>
    <definedName function="false" hidden="false" name="scheme_a_payout_kind" vbProcedure="false">Example!$B$14</definedName>
    <definedName function="false" hidden="false" name="scheme_a_rate" vbProcedure="false">Example!$B$15</definedName>
    <definedName function="false" hidden="false" name="scheme_b_benefit_kind" vbProcedure="false">Example!$B$17</definedName>
    <definedName function="false" hidden="false" name="scheme_b_excludes" vbProcedure="false">Example!$B$21</definedName>
    <definedName function="false" hidden="false" name="scheme_b_payout_kind" vbProcedure="false">Example!$B$18</definedName>
    <definedName function="false" hidden="false" name="scheme_b_rate" vbProcedure="false">Example!$B$19</definedName>
    <definedName function="false" hidden="false" name="scheme_b_years" vbProcedure="false">Example!$B$20</definedName>
    <definedName function="false" hidden="false" name="support_npv_in_euro" vbProcedure="false">Example!$B$28</definedName>
    <definedName function="false" hidden="false" name="tax_credit_total_in_euro" vbProcedure="false">Example!$B$24</definedName>
    <definedName function="false" hidden="false" name="tax_credit_year_1_in_euro" vbProcedure="false">Example!$B$25</definedName>
    <definedName function="false" hidden="false" name="tax_credit_year_2_in_euro" vbProcedure="false">Example!$B$26</definedName>
    <definedName function="false" hidden="false" name="tax_credit_year_3_in_euro" vbProcedure="false">Example!$B$27</definedName>
    <definedName function="false" hidden="false" name="total_upfront_award_in_euro" vbProcedure="false">Example!$B$29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<sst xmlns="http://schemas.openxmlformats.org/spreadsheetml/2006/main" count="58" uniqueCount="54">
  <si>
    <t xml:space="preserve">METADATA</t>
  </si>
  <si>
    <t xml:space="preserve">value</t>
  </si>
  <si>
    <t xml:space="preserve">name</t>
  </si>
  <si>
    <t xml:space="preserve">grant_versus_tax_credit_choice</t>
  </si>
  <si>
    <t xml:space="preserve">spec_section</t>
  </si>
  <si>
    <t xml:space="preserve">5.4</t>
  </si>
  <si>
    <t xml:space="preserve">computed_by</t>
  </si>
  <si>
    <t xml:space="preserve">Claude draft + LibreOffice recalculation, 2026-08-12</t>
  </si>
  <si>
    <t xml:space="preserve">description</t>
  </si>
  <si>
    <t xml:space="preserve">A 20 % upfront grant and a 25 % tax credit paid in three equal annual instalments exclude each other. The solver values both on the average slot and picks the larger discounted support: at 5 % the tax credit is worth about 4,539 EUR against the grant's 4,000 EUR, so the grant is not awarded and no money moves at year 0.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</si>
  <si>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</si>
  <si>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</si>
  <si>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</si>
  <si>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</si>
  <si>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</si>
  <si>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</si>
  <si>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measure_cost_in_euro</t>
  </si>
  <si>
    <t xml:space="preserve">gross investment of the measure</t>
  </si>
  <si>
    <t xml:space="preserve">interest_rate</t>
  </si>
  <si>
    <t xml:space="preserve">discount rate of the solver objective</t>
  </si>
  <si>
    <t xml:space="preserve">scheme_a_benefit_kind</t>
  </si>
  <si>
    <t xml:space="preserve">SHARE_OF_ELIGIBLE_COST</t>
  </si>
  <si>
    <t xml:space="preserve">BenefitKind</t>
  </si>
  <si>
    <t xml:space="preserve">scheme_a_payout_kind</t>
  </si>
  <si>
    <t xml:space="preserve">UPFRONT_GRANT</t>
  </si>
  <si>
    <t xml:space="preserve">PayoutKind</t>
  </si>
  <si>
    <t xml:space="preserve">scheme_a_rate</t>
  </si>
  <si>
    <t xml:space="preserve">grant rate</t>
  </si>
  <si>
    <t xml:space="preserve">scheme_a_excludes</t>
  </si>
  <si>
    <t xml:space="preserve">SCHEME_B</t>
  </si>
  <si>
    <t xml:space="preserve">mutually exclusive with the tax credit</t>
  </si>
  <si>
    <t xml:space="preserve">scheme_b_benefit_kind</t>
  </si>
  <si>
    <t xml:space="preserve">TAX_CREDIT</t>
  </si>
  <si>
    <t xml:space="preserve">scheme_b_payout_kind</t>
  </si>
  <si>
    <t xml:space="preserve">TAX_CREDIT_SCHEDULE</t>
  </si>
  <si>
    <t xml:space="preserve">scheme_b_rate</t>
  </si>
  <si>
    <t xml:space="preserve">tax credit rate</t>
  </si>
  <si>
    <t xml:space="preserve">scheme_b_years</t>
  </si>
  <si>
    <t xml:space="preserve">instalments</t>
  </si>
  <si>
    <t xml:space="preserve">scheme_b_excludes</t>
  </si>
  <si>
    <t xml:space="preserve">SCHEME_A</t>
  </si>
  <si>
    <t xml:space="preserve">mutually exclusive with the grant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</si>
  <si>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</si>
  <si>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</si>
  <si>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</si>
  <si>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</si>
  <si>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tax_credit_total_in_euro</t>
  </si>
  <si>
    <t xml:space="preserve">tax_credit_year_1_in_euro</t>
  </si>
  <si>
    <t xml:space="preserve">tax_credit_year_2_in_euro</t>
  </si>
  <si>
    <t xml:space="preserve">tax_credit_year_3_in_euro</t>
  </si>
  <si>
    <t xml:space="preserve">support_npv_in_euro</t>
  </si>
  <si>
    <t xml:space="preserve">the solver objective: discounted value of the chosen combination</t>
  </si>
  <si>
    <t xml:space="preserve">total_upfront_award_in_euro</t>
  </si>
  <si>
    <t xml:space="preserve">constant, not a formula: the grant loses the comparison, so nothing is paid at year 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</si>
</sst>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20000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0.05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s">
        <v>21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s">
        <v>24</v>
      </c>
      <c r="C14" s="2" t="s">
        <v>25</v>
      </c>
    </row>
    <row r="15" customFormat="false" ht="15" hidden="false" customHeight="false" outlineLevel="0" collapsed="false">
      <c r="A15" s="0" t="s">
        <v>26</v>
      </c>
      <c r="B15" s="0" t="n">
        <v>0.2</v>
      </c>
      <c r="C15" s="2" t="s">
        <v>27</v>
      </c>
    </row>
    <row r="16" customFormat="false" ht="15" hidden="false" customHeight="false" outlineLevel="0" collapsed="false">
      <c r="A16" s="0" t="s">
        <v>28</v>
      </c>
      <c r="B16" s="0" t="s">
        <v>29</v>
      </c>
      <c r="C16" s="2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  <c r="C17" s="2" t="s">
        <v>22</v>
      </c>
    </row>
    <row r="18" customFormat="false" ht="15" hidden="false" customHeight="false" outlineLevel="0" collapsed="false">
      <c r="A18" s="0" t="s">
        <v>33</v>
      </c>
      <c r="B18" s="0" t="s">
        <v>34</v>
      </c>
      <c r="C18" s="2" t="s">
        <v>25</v>
      </c>
    </row>
    <row r="19" customFormat="false" ht="15" hidden="false" customHeight="false" outlineLevel="0" collapsed="false">
      <c r="A19" s="0" t="s">
        <v>35</v>
      </c>
      <c r="B19" s="0" t="n">
        <v>0.25</v>
      </c>
      <c r="C19" s="2" t="s">
        <v>36</v>
      </c>
    </row>
    <row r="20" customFormat="false" ht="15" hidden="false" customHeight="false" outlineLevel="0" collapsed="false">
      <c r="A20" s="0" t="s">
        <v>37</v>
      </c>
      <c r="B20" s="0" t="n">
        <v>3</v>
      </c>
      <c r="C20" s="2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2" t="s">
        <v>41</v>
      </c>
    </row>
    <row r="22" customFormat="false" ht="15" hidden="false" customHeight="false" outlineLevel="0" collapsed="false">
      <c r="C22" s="2"/>
    </row>
    <row r="23" customFormat="false" ht="15" hidden="false" customHeight="false" outlineLevel="0" collapsed="false">
      <c r="A23" s="1" t="s">
        <v>42</v>
      </c>
      <c r="B23" s="1" t="s">
        <v>1</v>
      </c>
      <c r="C23" s="3" t="s">
        <v>43</v>
      </c>
      <c r="D23" s="1" t="s">
        <v>44</v>
      </c>
      <c r="E23" s="0" t="s">
        <v>45</v>
      </c>
    </row>
    <row r="24" customFormat="false" ht="15" hidden="false" customHeight="false" outlineLevel="0" collapsed="false">
      <c r="A24" s="0" t="s">
        <v>46</v>
      </c>
      <c r="B24" s="0" t="n">
        <f aca="false">measure_cost_in_euro*scheme_b_rate</f>
        <v>5000</v>
      </c>
      <c r="C24" s="2" t="n">
        <v>0.01</v>
      </c>
    </row>
    <row r="25" customFormat="false" ht="15" hidden="false" customHeight="false" outlineLevel="0" collapsed="false">
      <c r="A25" s="0" t="s">
        <v>47</v>
      </c>
      <c r="B25" s="0" t="n">
        <f aca="false">tax_credit_total_in_euro/scheme_b_years</f>
        <v>1666.66666666667</v>
      </c>
      <c r="C25" s="2" t="n">
        <v>0.01</v>
      </c>
    </row>
    <row r="26" customFormat="false" ht="15" hidden="false" customHeight="false" outlineLevel="0" collapsed="false">
      <c r="A26" s="0" t="s">
        <v>48</v>
      </c>
      <c r="B26" s="0" t="n">
        <f aca="false">tax_credit_total_in_euro/scheme_b_years</f>
        <v>1666.66666666667</v>
      </c>
      <c r="C26" s="2" t="n">
        <v>0.01</v>
      </c>
    </row>
    <row r="27" customFormat="false" ht="15" hidden="false" customHeight="false" outlineLevel="0" collapsed="false">
      <c r="A27" s="0" t="s">
        <v>49</v>
      </c>
      <c r="B27" s="0" t="n">
        <f aca="false">tax_credit_total_in_euro/scheme_b_years</f>
        <v>1666.66666666667</v>
      </c>
      <c r="C27" s="2" t="n">
        <v>0.01</v>
      </c>
    </row>
    <row r="28" customFormat="false" ht="15" hidden="false" customHeight="false" outlineLevel="0" collapsed="false">
      <c r="A28" s="0" t="s">
        <v>50</v>
      </c>
      <c r="B28" s="0" t="n">
        <f aca="false">tax_credit_year_1_in_euro/(1+interest_rate)^1+tax_credit_year_2_in_euro/(1+interest_rate)^2+tax_credit_year_3_in_euro/(1+interest_rate)^3</f>
        <v>4538.74671561746</v>
      </c>
      <c r="C28" s="2" t="n">
        <v>0.01</v>
      </c>
      <c r="D28" s="0" t="s">
        <v>51</v>
      </c>
    </row>
    <row r="29" customFormat="false" ht="15" hidden="false" customHeight="false" outlineLevel="0" collapsed="false">
      <c r="A29" s="0" t="s">
        <v>52</v>
      </c>
      <c r="B29" s="0" t="n">
        <v>0</v>
      </c>
      <c r="C29" s="2" t="n">
        <v>0.01</v>
      </c>
      <c r="D29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