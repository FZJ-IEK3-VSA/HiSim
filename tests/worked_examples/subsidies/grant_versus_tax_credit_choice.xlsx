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Example" sheetId="1" state="visible" r:id="rId3"/>
  </sheets>
  <definedNames>
    <definedName function="false" hidden="false" name="effective_support_share" vbProcedure="false">Example!$B$32</definedName>
    <definedName function="false" hidden="false" name="interest_rate" vbProcedure="false">Example!$B$12</definedName>
    <definedName function="false" hidden="false" name="measure_cost_in_euro" vbProcedure="false">Example!$B$11</definedName>
    <definedName function="false" hidden="false" name="scheme_a_award_in_euro" vbProcedure="false">Example!$B$30</definedName>
    <definedName function="false" hidden="false" name="scheme_a_benefit_kind" vbProcedure="false">Example!$B$13</definedName>
    <definedName function="false" hidden="false" name="scheme_a_excludes" vbProcedure="false">Example!$B$16</definedName>
    <definedName function="false" hidden="false" name="scheme_a_payout_kind" vbProcedure="false">Example!$B$14</definedName>
    <definedName function="false" hidden="false" name="scheme_a_rate" vbProcedure="false">Example!$B$15</definedName>
    <definedName function="false" hidden="false" name="scheme_b_benefit_kind" vbProcedure="false">Example!$B$17</definedName>
    <definedName function="false" hidden="false" name="scheme_b_excludes" vbProcedure="false">Example!$B$21</definedName>
    <definedName function="false" hidden="false" name="scheme_b_payout_kind" vbProcedure="false">Example!$B$18</definedName>
    <definedName function="false" hidden="false" name="scheme_b_rate" vbProcedure="false">Example!$B$19</definedName>
    <definedName function="false" hidden="false" name="scheme_b_years" vbProcedure="false">Example!$B$20</definedName>
    <definedName function="false" hidden="false" name="support_ledger_npv_in_euro" vbProcedure="false">Example!$B$31</definedName>
    <definedName function="false" hidden="false" name="support_npv_in_euro" vbProcedure="false">Example!$B$28</definedName>
    <definedName function="false" hidden="false" name="tax_credit_total_in_euro" vbProcedure="false">Example!$B$24</definedName>
    <definedName function="false" hidden="false" name="tax_credit_year_1_in_euro" vbProcedure="false">Example!$B$25</definedName>
    <definedName function="false" hidden="false" name="tax_credit_year_2_in_euro" vbProcedure="false">Example!$B$26</definedName>
    <definedName function="false" hidden="false" name="tax_credit_year_3_in_euro" vbProcedure="false">Example!$B$27</definedName>
    <definedName function="false" hidden="false" name="total_upfront_award_in_euro" vbProcedure="false">Example!$B$29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<sst xmlns="http://schemas.openxmlformats.org/spreadsheetml/2006/main" count="64" uniqueCount="60">
  <si>
    <t xml:space="preserve">METADATA</t>
  </si>
  <si>
    <t xml:space="preserve">value</t>
  </si>
  <si>
    <t xml:space="preserve">name</t>
  </si>
  <si>
    <t xml:space="preserve">grant_versus_tax_credit_choice</t>
  </si>
  <si>
    <t xml:space="preserve">spec_section</t>
  </si>
  <si>
    <t xml:space="preserve">5.4</t>
  </si>
  <si>
    <t xml:space="preserve">computed_by</t>
  </si>
  <si>
    <t xml:space="preserve">Claude draft + LibreOffice recalculation, 2026-08-12</t>
  </si>
  <si>
    <t xml:space="preserve">description</t>
  </si>
  <si>
    <t xml:space="preserve">A 20 % upfront grant and a 25 % tax credit paid in three equal annual instalments exclude each other. The solver values both on the average slot and picks the larger discounted support: at 5 % the tax credit is worth about 4,539 EUR against the grant's 4,000 EUR, so the grant is not awarded and no money moves at year 0.</t>
  </si>
  <si>
    <t xml:space="preserve">reviewed_by</t>
  </si>
  <si>
    <t xml:space="preserve">reviewer name; empty until a human attested this revision (§3.8)</t>
  </si>
  <si>
    <t xml:space="preserve">review_date</t>
  </si>
  <si>
    <t xml:space="preserve">reviewed_fingerprint</t>
  </si>
  <si>
    <t xml:space="preserve">INPUTS</t>
  </si>
  <si>
    <t xml:space="preserve">comment</t>
  </si>
  <si>
    <t xml:space="preserve">measure_cost_in_euro</t>
  </si>
  <si>
    <t xml:space="preserve">gross investment of the measure</t>
  </si>
  <si>
    <t xml:space="preserve">interest_rate</t>
  </si>
  <si>
    <t xml:space="preserve">discount rate of the solver objective</t>
  </si>
  <si>
    <t xml:space="preserve">scheme_a_benefit_kind</t>
  </si>
  <si>
    <t xml:space="preserve">SHARE_OF_ELIGIBLE_COST</t>
  </si>
  <si>
    <t xml:space="preserve">BenefitKind</t>
  </si>
  <si>
    <t xml:space="preserve">scheme_a_payout_kind</t>
  </si>
  <si>
    <t xml:space="preserve">UPFRONT_GRANT</t>
  </si>
  <si>
    <t xml:space="preserve">PayoutKind</t>
  </si>
  <si>
    <t xml:space="preserve">scheme_a_rate</t>
  </si>
  <si>
    <t xml:space="preserve">grant rate</t>
  </si>
  <si>
    <t xml:space="preserve">scheme_a_excludes</t>
  </si>
  <si>
    <t xml:space="preserve">SCHEME_B</t>
  </si>
  <si>
    <t xml:space="preserve">mutually exclusive with the tax credit</t>
  </si>
  <si>
    <t xml:space="preserve">scheme_b_benefit_kind</t>
  </si>
  <si>
    <t xml:space="preserve">TAX_CREDIT</t>
  </si>
  <si>
    <t xml:space="preserve">scheme_b_payout_kind</t>
  </si>
  <si>
    <t xml:space="preserve">TAX_CREDIT_SCHEDULE</t>
  </si>
  <si>
    <t xml:space="preserve">scheme_b_rate</t>
  </si>
  <si>
    <t xml:space="preserve">tax credit rate</t>
  </si>
  <si>
    <t xml:space="preserve">scheme_b_years</t>
  </si>
  <si>
    <t xml:space="preserve">instalments</t>
  </si>
  <si>
    <t xml:space="preserve">scheme_b_excludes</t>
  </si>
  <si>
    <t xml:space="preserve">SCHEME_A</t>
  </si>
  <si>
    <t xml:space="preserve">mutually exclusive with the grant</t>
  </si>
  <si>
    <t xml:space="preserve">EXPECTED</t>
  </si>
  <si>
    <t xml:space="preserve">abs_tol</t>
  </si>
  <si>
    <t xml:space="preserve">note</t>
  </si>
  <si>
    <t xml:space="preserve">sign convention: solver quantities are award magnitudes (positive); they enter the ledger as negative cost via as_revenue() (§3.9)</t>
  </si>
  <si>
    <t xml:space="preserve">tax_credit_total_in_euro</t>
  </si>
  <si>
    <t xml:space="preserve">tax_credit_year_1_in_euro</t>
  </si>
  <si>
    <t xml:space="preserve">tax_credit_year_2_in_euro</t>
  </si>
  <si>
    <t xml:space="preserve">tax_credit_year_3_in_euro</t>
  </si>
  <si>
    <t xml:space="preserve">support_npv_in_euro</t>
  </si>
  <si>
    <t xml:space="preserve">the solver objective: discounted value of the chosen combination</t>
  </si>
  <si>
    <t xml:space="preserve">total_upfront_award_in_euro</t>
  </si>
  <si>
    <t xml:space="preserve">constant, not a formula: the grant loses the comparison, so nothing is paid at year 0</t>
  </si>
  <si>
    <t xml:space="preserve">scheme_a_award_in_euro</t>
  </si>
  <si>
    <t xml:space="preserve">constant, not a formula: the grant loses the comparison the solver made - 4,000 EUR upfront against the tax credit's 4,538.75 EUR discounted at 5 % - so scheme A is not applied and its award is zero</t>
  </si>
  <si>
    <t xml:space="preserve">support_ledger_npv_in_euro</t>
  </si>
  <si>
    <t xml:space="preserve">the same support as it lands on the ledger: negative cost (§3.9)</t>
  </si>
  <si>
    <t xml:space="preserve">effective_support_share</t>
  </si>
  <si>
    <t xml:space="preserve">the discounted support over the measure cost; on the upfront total it would report 0 % support for this scheme, which is paid entirely as instalments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</si>
</sst>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2"/>
    <col collapsed="false" customWidth="true" hidden="false" outlineLevel="0" max="3" min="3" style="1" width="30"/>
    <col collapsed="false" customWidth="true" hidden="false" outlineLevel="0" max="4" min="4" style="1" width="60"/>
  </cols>
  <sheetData>
    <row r="1" customFormat="false" ht="15" hidden="false" customHeight="true" outlineLevel="0" collapsed="false">
      <c r="A1" s="2" t="s">
        <v>0</v>
      </c>
      <c r="B1" s="2" t="s">
        <v>1</v>
      </c>
      <c r="C1" s="3"/>
    </row>
    <row r="2" customFormat="false" ht="15" hidden="false" customHeight="true" outlineLevel="0" collapsed="false">
      <c r="A2" s="1" t="s">
        <v>2</v>
      </c>
      <c r="B2" s="1" t="s">
        <v>3</v>
      </c>
      <c r="C2" s="3"/>
    </row>
    <row r="3" customFormat="false" ht="15" hidden="false" customHeight="true" outlineLevel="0" collapsed="false">
      <c r="A3" s="1" t="s">
        <v>4</v>
      </c>
      <c r="B3" s="1" t="s">
        <v>5</v>
      </c>
      <c r="C3" s="3"/>
    </row>
    <row r="4" customFormat="false" ht="15" hidden="false" customHeight="true" outlineLevel="0" collapsed="false">
      <c r="A4" s="1" t="s">
        <v>6</v>
      </c>
      <c r="B4" s="1" t="s">
        <v>7</v>
      </c>
      <c r="C4" s="3"/>
    </row>
    <row r="5" customFormat="false" ht="15" hidden="false" customHeight="true" outlineLevel="0" collapsed="false">
      <c r="A5" s="1" t="s">
        <v>8</v>
      </c>
      <c r="B5" s="1" t="s">
        <v>9</v>
      </c>
      <c r="C5" s="3"/>
    </row>
    <row r="6" customFormat="false" ht="15" hidden="false" customHeight="true" outlineLevel="0" collapsed="false">
      <c r="A6" s="1" t="s">
        <v>10</v>
      </c>
      <c r="C6" s="3" t="s">
        <v>11</v>
      </c>
    </row>
    <row r="7" customFormat="false" ht="15" hidden="false" customHeight="true" outlineLevel="0" collapsed="false">
      <c r="A7" s="1" t="s">
        <v>12</v>
      </c>
      <c r="C7" s="3"/>
    </row>
    <row r="8" customFormat="false" ht="15" hidden="false" customHeight="true" outlineLevel="0" collapsed="false">
      <c r="A8" s="1" t="s">
        <v>13</v>
      </c>
      <c r="C8" s="3"/>
    </row>
    <row r="9" customFormat="false" ht="15" hidden="false" customHeight="true" outlineLevel="0" collapsed="false">
      <c r="C9" s="3"/>
    </row>
    <row r="10" customFormat="false" ht="15" hidden="false" customHeight="true" outlineLevel="0" collapsed="false">
      <c r="A10" s="2" t="s">
        <v>14</v>
      </c>
      <c r="B10" s="2" t="s">
        <v>1</v>
      </c>
      <c r="C10" s="4" t="s">
        <v>15</v>
      </c>
    </row>
    <row r="11" customFormat="false" ht="15" hidden="false" customHeight="true" outlineLevel="0" collapsed="false">
      <c r="A11" s="1" t="s">
        <v>16</v>
      </c>
      <c r="B11" s="1" t="n">
        <v>20000</v>
      </c>
      <c r="C11" s="3" t="s">
        <v>17</v>
      </c>
    </row>
    <row r="12" customFormat="false" ht="15" hidden="false" customHeight="true" outlineLevel="0" collapsed="false">
      <c r="A12" s="1" t="s">
        <v>18</v>
      </c>
      <c r="B12" s="1" t="n">
        <v>0.05</v>
      </c>
      <c r="C12" s="3" t="s">
        <v>19</v>
      </c>
    </row>
    <row r="13" customFormat="false" ht="15" hidden="false" customHeight="true" outlineLevel="0" collapsed="false">
      <c r="A13" s="1" t="s">
        <v>20</v>
      </c>
      <c r="B13" s="1" t="s">
        <v>21</v>
      </c>
      <c r="C13" s="3" t="s">
        <v>22</v>
      </c>
    </row>
    <row r="14" customFormat="false" ht="15" hidden="false" customHeight="true" outlineLevel="0" collapsed="false">
      <c r="A14" s="1" t="s">
        <v>23</v>
      </c>
      <c r="B14" s="1" t="s">
        <v>24</v>
      </c>
      <c r="C14" s="3" t="s">
        <v>25</v>
      </c>
    </row>
    <row r="15" customFormat="false" ht="15" hidden="false" customHeight="true" outlineLevel="0" collapsed="false">
      <c r="A15" s="1" t="s">
        <v>26</v>
      </c>
      <c r="B15" s="1" t="n">
        <v>0.2</v>
      </c>
      <c r="C15" s="3" t="s">
        <v>27</v>
      </c>
    </row>
    <row r="16" customFormat="false" ht="15" hidden="false" customHeight="true" outlineLevel="0" collapsed="false">
      <c r="A16" s="1" t="s">
        <v>28</v>
      </c>
      <c r="B16" s="1" t="s">
        <v>29</v>
      </c>
      <c r="C16" s="3" t="s">
        <v>30</v>
      </c>
    </row>
    <row r="17" customFormat="false" ht="15" hidden="false" customHeight="true" outlineLevel="0" collapsed="false">
      <c r="A17" s="1" t="s">
        <v>31</v>
      </c>
      <c r="B17" s="1" t="s">
        <v>32</v>
      </c>
      <c r="C17" s="3" t="s">
        <v>22</v>
      </c>
    </row>
    <row r="18" customFormat="false" ht="15" hidden="false" customHeight="true" outlineLevel="0" collapsed="false">
      <c r="A18" s="1" t="s">
        <v>33</v>
      </c>
      <c r="B18" s="1" t="s">
        <v>34</v>
      </c>
      <c r="C18" s="3" t="s">
        <v>25</v>
      </c>
    </row>
    <row r="19" customFormat="false" ht="15" hidden="false" customHeight="true" outlineLevel="0" collapsed="false">
      <c r="A19" s="1" t="s">
        <v>35</v>
      </c>
      <c r="B19" s="1" t="n">
        <v>0.25</v>
      </c>
      <c r="C19" s="3" t="s">
        <v>36</v>
      </c>
    </row>
    <row r="20" customFormat="false" ht="15" hidden="false" customHeight="true" outlineLevel="0" collapsed="false">
      <c r="A20" s="1" t="s">
        <v>37</v>
      </c>
      <c r="B20" s="1" t="n">
        <v>3</v>
      </c>
      <c r="C20" s="3" t="s">
        <v>38</v>
      </c>
    </row>
    <row r="21" customFormat="false" ht="15" hidden="false" customHeight="true" outlineLevel="0" collapsed="false">
      <c r="A21" s="1" t="s">
        <v>39</v>
      </c>
      <c r="B21" s="1" t="s">
        <v>40</v>
      </c>
      <c r="C21" s="3" t="s">
        <v>41</v>
      </c>
    </row>
    <row r="22" customFormat="false" ht="15" hidden="false" customHeight="true" outlineLevel="0" collapsed="false">
      <c r="C22" s="3"/>
    </row>
    <row r="23" customFormat="false" ht="15" hidden="false" customHeight="true" outlineLevel="0" collapsed="false">
      <c r="A23" s="2" t="s">
        <v>42</v>
      </c>
      <c r="B23" s="2" t="s">
        <v>1</v>
      </c>
      <c r="C23" s="4" t="s">
        <v>43</v>
      </c>
      <c r="D23" s="2" t="s">
        <v>44</v>
      </c>
      <c r="E23" s="1" t="s">
        <v>45</v>
      </c>
    </row>
    <row r="24" customFormat="false" ht="15" hidden="false" customHeight="true" outlineLevel="0" collapsed="false">
      <c r="A24" s="1" t="s">
        <v>46</v>
      </c>
      <c r="B24" s="1" t="n">
        <f aca="false">measure_cost_in_euro*scheme_b_rate</f>
        <v>5000</v>
      </c>
      <c r="C24" s="3" t="n">
        <v>0.01</v>
      </c>
    </row>
    <row r="25" customFormat="false" ht="15" hidden="false" customHeight="true" outlineLevel="0" collapsed="false">
      <c r="A25" s="1" t="s">
        <v>47</v>
      </c>
      <c r="B25" s="1" t="n">
        <f aca="false">tax_credit_total_in_euro/scheme_b_years</f>
        <v>1666.66666666667</v>
      </c>
      <c r="C25" s="3" t="n">
        <v>0.01</v>
      </c>
    </row>
    <row r="26" customFormat="false" ht="15" hidden="false" customHeight="true" outlineLevel="0" collapsed="false">
      <c r="A26" s="1" t="s">
        <v>48</v>
      </c>
      <c r="B26" s="1" t="n">
        <f aca="false">tax_credit_total_in_euro/scheme_b_years</f>
        <v>1666.66666666667</v>
      </c>
      <c r="C26" s="3" t="n">
        <v>0.01</v>
      </c>
    </row>
    <row r="27" customFormat="false" ht="15" hidden="false" customHeight="true" outlineLevel="0" collapsed="false">
      <c r="A27" s="1" t="s">
        <v>49</v>
      </c>
      <c r="B27" s="1" t="n">
        <f aca="false">tax_credit_total_in_euro/scheme_b_years</f>
        <v>1666.66666666667</v>
      </c>
      <c r="C27" s="3" t="n">
        <v>0.01</v>
      </c>
    </row>
    <row r="28" customFormat="false" ht="15" hidden="false" customHeight="true" outlineLevel="0" collapsed="false">
      <c r="A28" s="1" t="s">
        <v>50</v>
      </c>
      <c r="B28" s="1" t="n">
        <f aca="false">tax_credit_year_1_in_euro/(1+interest_rate)^1+tax_credit_year_2_in_euro/(1+interest_rate)^2+tax_credit_year_3_in_euro/(1+interest_rate)^3</f>
        <v>4538.74671561746</v>
      </c>
      <c r="C28" s="3" t="n">
        <v>0.01</v>
      </c>
      <c r="D28" s="1" t="s">
        <v>51</v>
      </c>
    </row>
    <row r="29" customFormat="false" ht="15" hidden="false" customHeight="true" outlineLevel="0" collapsed="false">
      <c r="A29" s="1" t="s">
        <v>52</v>
      </c>
      <c r="B29" s="1" t="n">
        <v>0</v>
      </c>
      <c r="C29" s="3" t="n">
        <v>0.01</v>
      </c>
      <c r="D29" s="1" t="s">
        <v>53</v>
      </c>
    </row>
    <row r="30" customFormat="false" ht="15" hidden="false" customHeight="true" outlineLevel="0" collapsed="false">
      <c r="A30" s="1" t="s">
        <v>54</v>
      </c>
      <c r="B30" s="1" t="n">
        <v>0</v>
      </c>
      <c r="C30" s="1" t="n">
        <v>0.01</v>
      </c>
      <c r="D30" s="1" t="s">
        <v>55</v>
      </c>
    </row>
    <row r="31" customFormat="false" ht="15" hidden="false" customHeight="true" outlineLevel="0" collapsed="false">
      <c r="A31" s="1" t="s">
        <v>56</v>
      </c>
      <c r="B31" s="1" t="n">
        <f aca="false">-support_npv_in_euro</f>
        <v>-4538.74671561746</v>
      </c>
      <c r="C31" s="1" t="n">
        <v>0.01</v>
      </c>
      <c r="D31" s="1" t="s">
        <v>57</v>
      </c>
    </row>
    <row r="32" customFormat="false" ht="15" hidden="false" customHeight="false" outlineLevel="0" collapsed="false">
      <c r="A32" s="1" t="s">
        <v>58</v>
      </c>
      <c r="B32" s="1" t="n">
        <f aca="false">support_npv_in_euro/measure_cost_in_euro</f>
        <v>0.226937335780873</v>
      </c>
      <c r="C32" s="1" t="n">
        <v>1E-006</v>
      </c>
      <c r="D32" s="1" t="s">
        <v>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2026-08-12T10:21:23Z</dcterms:created>
  <dc:creator>openpyxl</dc:creator>
  <dc:description/>
  <dc:language>en-US</dc:language>
  <cp:lastModifiedBy/>
  <dcterms:modified xsi:type="dcterms:W3CDTF">2026-09-08T12:00:45Z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