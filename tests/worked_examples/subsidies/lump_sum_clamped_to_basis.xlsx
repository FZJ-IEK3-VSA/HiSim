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Example" sheetId="1" state="visible" r:id="rId3"/>
  </sheets>
  <definedNames>
    <definedName function="false" hidden="false" name="effective_support_share" vbProcedure="false">Example!$B$20</definedName>
    <definedName function="false" hidden="false" name="interest_rate" vbProcedure="false">Example!$B$12</definedName>
    <definedName function="false" hidden="false" name="measure_cost_in_euro" vbProcedure="false">Example!$B$11</definedName>
    <definedName function="false" hidden="false" name="scheme_a_amount_in_euro" vbProcedure="false">Example!$B$15</definedName>
    <definedName function="false" hidden="false" name="scheme_a_award_in_euro" vbProcedure="false">Example!$B$18</definedName>
    <definedName function="false" hidden="false" name="scheme_a_benefit_kind" vbProcedure="false">Example!$B$13</definedName>
    <definedName function="false" hidden="false" name="scheme_a_payout_kind" vbProcedure="false">Example!$B$14</definedName>
    <definedName function="false" hidden="false" name="total_upfront_award_in_euro" vbProcedure="false">Example!$B$19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<sst xmlns="http://schemas.openxmlformats.org/spreadsheetml/2006/main" count="38" uniqueCount="36">
  <si>
    <t xml:space="preserve">METADATA</t>
  </si>
  <si>
    <t xml:space="preserve">value</t>
  </si>
  <si>
    <t xml:space="preserve">name</t>
  </si>
  <si>
    <t xml:space="preserve">lump_sum_clamped_to_basis</t>
  </si>
  <si>
    <t xml:space="preserve">spec_section</t>
  </si>
  <si>
    <t xml:space="preserve">5.2</t>
  </si>
  <si>
    <t xml:space="preserve">computed_by</t>
  </si>
  <si>
    <t xml:space="preserve">Claude draft + LibreOffice recalculation, 2026-08-12</t>
  </si>
  <si>
    <t xml:space="preserve">description</t>
  </si>
  <si>
    <t xml:space="preserve">A 2,000 EUR lump-sum grant meets a measure that only costs 1,500 EUR. A subsidy can never exceed the eligible cost it supports, so the award is clamped to the measure cost and the effective support share is exactly one.</t>
  </si>
  <si>
    <t xml:space="preserve">reviewed_by</t>
  </si>
  <si>
    <t xml:space="preserve">reviewer name; empty until a human attested this revision (§3.8)</t>
  </si>
  <si>
    <t xml:space="preserve">review_date</t>
  </si>
  <si>
    <t xml:space="preserve">reviewed_fingerprint</t>
  </si>
  <si>
    <t xml:space="preserve">INPUTS</t>
  </si>
  <si>
    <t xml:space="preserve">comment</t>
  </si>
  <si>
    <t xml:space="preserve">measure_cost_in_euro</t>
  </si>
  <si>
    <t xml:space="preserve">gross investment of the measure</t>
  </si>
  <si>
    <t xml:space="preserve">interest_rate</t>
  </si>
  <si>
    <t xml:space="preserve">discount rate of the solver objective</t>
  </si>
  <si>
    <t xml:space="preserve">scheme_a_benefit_kind</t>
  </si>
  <si>
    <t xml:space="preserve">LUMP_SUM</t>
  </si>
  <si>
    <t xml:space="preserve">BenefitKind</t>
  </si>
  <si>
    <t xml:space="preserve">scheme_a_payout_kind</t>
  </si>
  <si>
    <t xml:space="preserve">UPFRONT_GRANT</t>
  </si>
  <si>
    <t xml:space="preserve">PayoutKind</t>
  </si>
  <si>
    <t xml:space="preserve">scheme_a_amount_in_euro</t>
  </si>
  <si>
    <t xml:space="preserve">flat grant amount</t>
  </si>
  <si>
    <t xml:space="preserve">EXPECTED</t>
  </si>
  <si>
    <t xml:space="preserve">abs_tol</t>
  </si>
  <si>
    <t xml:space="preserve">note</t>
  </si>
  <si>
    <t xml:space="preserve">sign convention: cost positive, revenue / subsidy / residual value negative</t>
  </si>
  <si>
    <t xml:space="preserve">scheme_a_award_in_euro</t>
  </si>
  <si>
    <t xml:space="preserve">clamped to the eligible cost basis</t>
  </si>
  <si>
    <t xml:space="preserve">total_upfront_award_in_euro</t>
  </si>
  <si>
    <t xml:space="preserve">effective_support_share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</si>
</sst>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22"/>
    <col collapsed="false" customWidth="true" hidden="false" outlineLevel="0" max="3" min="3" style="0" width="30"/>
    <col collapsed="false" customWidth="true" hidden="false" outlineLevel="0" max="4" min="4" style="0" width="60"/>
  </cols>
  <sheetData>
    <row r="1" customFormat="false" ht="15" hidden="false" customHeight="false" outlineLevel="0" collapsed="false">
      <c r="A1" s="1" t="s">
        <v>0</v>
      </c>
      <c r="B1" s="1" t="s">
        <v>1</v>
      </c>
      <c r="C1" s="2"/>
    </row>
    <row r="2" customFormat="false" ht="15" hidden="false" customHeight="false" outlineLevel="0" collapsed="false">
      <c r="A2" s="0" t="s">
        <v>2</v>
      </c>
      <c r="B2" s="0" t="s">
        <v>3</v>
      </c>
      <c r="C2" s="2"/>
    </row>
    <row r="3" customFormat="false" ht="15" hidden="false" customHeight="false" outlineLevel="0" collapsed="false">
      <c r="A3" s="0" t="s">
        <v>4</v>
      </c>
      <c r="B3" s="0" t="s">
        <v>5</v>
      </c>
      <c r="C3" s="2"/>
    </row>
    <row r="4" customFormat="false" ht="15" hidden="false" customHeight="false" outlineLevel="0" collapsed="false">
      <c r="A4" s="0" t="s">
        <v>6</v>
      </c>
      <c r="B4" s="0" t="s">
        <v>7</v>
      </c>
      <c r="C4" s="2"/>
    </row>
    <row r="5" customFormat="false" ht="15" hidden="false" customHeight="false" outlineLevel="0" collapsed="false">
      <c r="A5" s="0" t="s">
        <v>8</v>
      </c>
      <c r="B5" s="0" t="s">
        <v>9</v>
      </c>
      <c r="C5" s="2"/>
    </row>
    <row r="6" customFormat="false" ht="15" hidden="false" customHeight="false" outlineLevel="0" collapsed="false">
      <c r="A6" s="0" t="s">
        <v>10</v>
      </c>
      <c r="C6" s="2" t="s">
        <v>11</v>
      </c>
    </row>
    <row r="7" customFormat="false" ht="15" hidden="false" customHeight="false" outlineLevel="0" collapsed="false">
      <c r="A7" s="0" t="s">
        <v>12</v>
      </c>
      <c r="C7" s="2"/>
    </row>
    <row r="8" customFormat="false" ht="15" hidden="false" customHeight="false" outlineLevel="0" collapsed="false">
      <c r="A8" s="0" t="s">
        <v>13</v>
      </c>
      <c r="C8" s="2"/>
    </row>
    <row r="9" customFormat="false" ht="15" hidden="false" customHeight="false" outlineLevel="0" collapsed="false">
      <c r="C9" s="2"/>
    </row>
    <row r="10" customFormat="false" ht="15" hidden="false" customHeight="false" outlineLevel="0" collapsed="false">
      <c r="A10" s="1" t="s">
        <v>14</v>
      </c>
      <c r="B10" s="1" t="s">
        <v>1</v>
      </c>
      <c r="C10" s="3" t="s">
        <v>15</v>
      </c>
    </row>
    <row r="11" customFormat="false" ht="15" hidden="false" customHeight="false" outlineLevel="0" collapsed="false">
      <c r="A11" s="0" t="s">
        <v>16</v>
      </c>
      <c r="B11" s="0" t="n">
        <v>1500</v>
      </c>
      <c r="C11" s="2" t="s">
        <v>17</v>
      </c>
    </row>
    <row r="12" customFormat="false" ht="15" hidden="false" customHeight="false" outlineLevel="0" collapsed="false">
      <c r="A12" s="0" t="s">
        <v>18</v>
      </c>
      <c r="B12" s="0" t="n">
        <v>0.03</v>
      </c>
      <c r="C12" s="2" t="s">
        <v>19</v>
      </c>
    </row>
    <row r="13" customFormat="false" ht="15" hidden="false" customHeight="false" outlineLevel="0" collapsed="false">
      <c r="A13" s="0" t="s">
        <v>20</v>
      </c>
      <c r="B13" s="0" t="s">
        <v>21</v>
      </c>
      <c r="C13" s="2" t="s">
        <v>22</v>
      </c>
    </row>
    <row r="14" customFormat="false" ht="15" hidden="false" customHeight="false" outlineLevel="0" collapsed="false">
      <c r="A14" s="0" t="s">
        <v>23</v>
      </c>
      <c r="B14" s="0" t="s">
        <v>24</v>
      </c>
      <c r="C14" s="2" t="s">
        <v>25</v>
      </c>
    </row>
    <row r="15" customFormat="false" ht="15" hidden="false" customHeight="false" outlineLevel="0" collapsed="false">
      <c r="A15" s="0" t="s">
        <v>26</v>
      </c>
      <c r="B15" s="0" t="n">
        <v>2000</v>
      </c>
      <c r="C15" s="2" t="s">
        <v>27</v>
      </c>
    </row>
    <row r="16" customFormat="false" ht="15" hidden="false" customHeight="false" outlineLevel="0" collapsed="false">
      <c r="C16" s="2"/>
    </row>
    <row r="17" customFormat="false" ht="15" hidden="false" customHeight="false" outlineLevel="0" collapsed="false">
      <c r="A17" s="1" t="s">
        <v>28</v>
      </c>
      <c r="B17" s="1" t="s">
        <v>1</v>
      </c>
      <c r="C17" s="3" t="s">
        <v>29</v>
      </c>
      <c r="D17" s="1" t="s">
        <v>30</v>
      </c>
      <c r="E17" s="0" t="s">
        <v>31</v>
      </c>
    </row>
    <row r="18" customFormat="false" ht="15" hidden="false" customHeight="false" outlineLevel="0" collapsed="false">
      <c r="A18" s="0" t="s">
        <v>32</v>
      </c>
      <c r="B18" s="0" t="n">
        <f aca="false">MIN(scheme_a_amount_in_euro,measure_cost_in_euro)</f>
        <v>1500</v>
      </c>
      <c r="C18" s="2" t="n">
        <v>0.01</v>
      </c>
      <c r="D18" s="0" t="s">
        <v>33</v>
      </c>
    </row>
    <row r="19" customFormat="false" ht="15" hidden="false" customHeight="false" outlineLevel="0" collapsed="false">
      <c r="A19" s="0" t="s">
        <v>34</v>
      </c>
      <c r="B19" s="0" t="n">
        <f aca="false">scheme_a_award_in_euro</f>
        <v>1500</v>
      </c>
      <c r="C19" s="2" t="n">
        <v>0.01</v>
      </c>
    </row>
    <row r="20" customFormat="false" ht="15" hidden="false" customHeight="false" outlineLevel="0" collapsed="false">
      <c r="A20" s="0" t="s">
        <v>35</v>
      </c>
      <c r="B20" s="0" t="n">
        <f aca="false">total_upfront_award_in_euro/measure_cost_in_euro</f>
        <v>1</v>
      </c>
      <c r="C20" s="2" t="n">
        <v>1E-006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2026-08-12T10:21:23Z</dcterms:created>
  <dc:creator>openpyxl</dc:creator>
  <dc:description/>
  <dc:language>en-US</dc:language>
  <cp:lastModifiedBy/>
  <dcterms:modified xsi:type="dcterms:W3CDTF">2026-08-12T10:21:23Z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