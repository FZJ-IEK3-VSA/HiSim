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dwelling_units" vbProcedure="false">Example!$B$17</definedName>
    <definedName function="false" hidden="false" name="effective_support_share" vbProcedure="false">Example!$B$23</definedName>
    <definedName function="false" hidden="false" name="eligible_cap_in_euro" vbProcedure="false">Example!$B$20</definedName>
    <definedName function="false" hidden="false" name="interest_rate" vbProcedure="false">Example!$B$12</definedName>
    <definedName function="false" hidden="false" name="measure_cost_in_euro" vbProcedure="false">Example!$B$11</definedName>
    <definedName function="false" hidden="false" name="scheme_a_award_in_euro" vbProcedure="false">Example!$B$21</definedName>
    <definedName function="false" hidden="false" name="scheme_a_benefit_kind" vbProcedure="false">Example!$B$13</definedName>
    <definedName function="false" hidden="false" name="scheme_a_cap_first_unit_in_euro" vbProcedure="false">Example!$B$16</definedName>
    <definedName function="false" hidden="false" name="scheme_a_payout_kind" vbProcedure="false">Example!$B$14</definedName>
    <definedName function="false" hidden="false" name="scheme_a_rate" vbProcedure="false">Example!$B$15</definedName>
    <definedName function="false" hidden="false" name="support_npv_in_euro" vbProcedure="false">Example!$B$24</definedName>
    <definedName function="false" hidden="false" name="total_upfront_award_in_euro" vbProcedure="false">Example!$B$22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<sst xmlns="http://schemas.openxmlformats.org/spreadsheetml/2006/main" count="45" uniqueCount="43">
  <si>
    <t xml:space="preserve">METADATA</t>
  </si>
  <si>
    <t xml:space="preserve">value</t>
  </si>
  <si>
    <t xml:space="preserve">name</t>
  </si>
  <si>
    <t xml:space="preserve">share_with_absolute_cap</t>
  </si>
  <si>
    <t xml:space="preserve">spec_section</t>
  </si>
  <si>
    <t xml:space="preserve">5.2</t>
  </si>
  <si>
    <t xml:space="preserve">computed_by</t>
  </si>
  <si>
    <t xml:space="preserve">Claude draft + LibreOffice recalculation, 2026-08-12</t>
  </si>
  <si>
    <t xml:space="preserve">description</t>
  </si>
  <si>
    <t xml:space="preserve">A single 30 % grant on a 40,000 EUR measure whose eligible cost is capped at 30,000 EUR. The cap binds, so the grant is 30 % of the capped basis, not of the measure cost, and the effective support share falls below the headline rate.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</si>
  <si>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</si>
  <si>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</si>
  <si>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</si>
  <si>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</si>
  <si>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</si>
  <si>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</si>
  <si>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measure_cost_in_euro</t>
  </si>
  <si>
    <t xml:space="preserve">gross investment of the measure</t>
  </si>
  <si>
    <t xml:space="preserve">interest_rate</t>
  </si>
  <si>
    <t xml:space="preserve">discount rate of the solver objective</t>
  </si>
  <si>
    <t xml:space="preserve">scheme_a_benefit_kind</t>
  </si>
  <si>
    <t xml:space="preserve">SHARE_OF_ELIGIBLE_COST</t>
  </si>
  <si>
    <t xml:space="preserve">BenefitKind</t>
  </si>
  <si>
    <t xml:space="preserve">scheme_a_payout_kind</t>
  </si>
  <si>
    <t xml:space="preserve">UPFRONT_GRANT</t>
  </si>
  <si>
    <t xml:space="preserve">PayoutKind</t>
  </si>
  <si>
    <t xml:space="preserve">scheme_a_rate</t>
  </si>
  <si>
    <t xml:space="preserve">grant rate</t>
  </si>
  <si>
    <t xml:space="preserve">scheme_a_cap_first_unit_in_euro</t>
  </si>
  <si>
    <t xml:space="preserve">eligible cost cap for the first dwelling unit</t>
  </si>
  <si>
    <t xml:space="preserve">dwelling_units</t>
  </si>
  <si>
    <t xml:space="preserve">single family home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</si>
  <si>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</si>
  <si>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</si>
  <si>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</si>
  <si>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</si>
  <si>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eligible_cap_in_euro</t>
  </si>
  <si>
    <t xml:space="preserve">scheme_a_award_in_euro</t>
  </si>
  <si>
    <t xml:space="preserve">the cap clamps the basis before the rate applies</t>
  </si>
  <si>
    <t xml:space="preserve">total_upfront_award_in_euro</t>
  </si>
  <si>
    <t xml:space="preserve">effective_support_share</t>
  </si>
  <si>
    <t xml:space="preserve">support_npv_in_euro</t>
  </si>
  <si>
    <t xml:space="preserve">an upfront grant is paid at year 0 and is therefore not discounted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</si>
</sst>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40000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0.03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s">
        <v>21</v>
      </c>
      <c r="C13" s="2" t="s">
        <v>22</v>
      </c>
    </row>
    <row r="14" customFormat="false" ht="15" hidden="false" customHeight="false" outlineLevel="0" collapsed="false">
      <c r="A14" s="0" t="s">
        <v>23</v>
      </c>
      <c r="B14" s="0" t="s">
        <v>24</v>
      </c>
      <c r="C14" s="2" t="s">
        <v>25</v>
      </c>
    </row>
    <row r="15" customFormat="false" ht="15" hidden="false" customHeight="false" outlineLevel="0" collapsed="false">
      <c r="A15" s="0" t="s">
        <v>26</v>
      </c>
      <c r="B15" s="0" t="n">
        <v>0.3</v>
      </c>
      <c r="C15" s="2" t="s">
        <v>27</v>
      </c>
    </row>
    <row r="16" customFormat="false" ht="15" hidden="false" customHeight="false" outlineLevel="0" collapsed="false">
      <c r="A16" s="0" t="s">
        <v>28</v>
      </c>
      <c r="B16" s="0" t="n">
        <v>30000</v>
      </c>
      <c r="C16" s="2" t="s">
        <v>29</v>
      </c>
    </row>
    <row r="17" customFormat="false" ht="15" hidden="false" customHeight="false" outlineLevel="0" collapsed="false">
      <c r="A17" s="0" t="s">
        <v>30</v>
      </c>
      <c r="B17" s="0" t="n">
        <v>1</v>
      </c>
      <c r="C17" s="2" t="s">
        <v>31</v>
      </c>
    </row>
    <row r="18" customFormat="false" ht="15" hidden="false" customHeight="false" outlineLevel="0" collapsed="false">
      <c r="C18" s="2"/>
    </row>
    <row r="19" customFormat="false" ht="15" hidden="false" customHeight="false" outlineLevel="0" collapsed="false">
      <c r="A19" s="1" t="s">
        <v>32</v>
      </c>
      <c r="B19" s="1" t="s">
        <v>1</v>
      </c>
      <c r="C19" s="3" t="s">
        <v>33</v>
      </c>
      <c r="D19" s="1" t="s">
        <v>34</v>
      </c>
      <c r="E19" s="0" t="s">
        <v>35</v>
      </c>
    </row>
    <row r="20" customFormat="false" ht="15" hidden="false" customHeight="false" outlineLevel="0" collapsed="false">
      <c r="A20" s="0" t="s">
        <v>36</v>
      </c>
      <c r="B20" s="0" t="n">
        <f aca="false">scheme_a_cap_first_unit_in_euro*dwelling_units</f>
        <v>30000</v>
      </c>
      <c r="C20" s="2" t="n">
        <v>0.01</v>
      </c>
    </row>
    <row r="21" customFormat="false" ht="15" hidden="false" customHeight="false" outlineLevel="0" collapsed="false">
      <c r="A21" s="0" t="s">
        <v>37</v>
      </c>
      <c r="B21" s="0" t="n">
        <f aca="false">MIN(measure_cost_in_euro,eligible_cap_in_euro)*scheme_a_rate</f>
        <v>9000</v>
      </c>
      <c r="C21" s="2" t="n">
        <v>0.01</v>
      </c>
      <c r="D21" s="0" t="s">
        <v>38</v>
      </c>
    </row>
    <row r="22" customFormat="false" ht="15" hidden="false" customHeight="false" outlineLevel="0" collapsed="false">
      <c r="A22" s="0" t="s">
        <v>39</v>
      </c>
      <c r="B22" s="0" t="n">
        <f aca="false">scheme_a_award_in_euro</f>
        <v>9000</v>
      </c>
      <c r="C22" s="2" t="n">
        <v>0.01</v>
      </c>
    </row>
    <row r="23" customFormat="false" ht="15" hidden="false" customHeight="false" outlineLevel="0" collapsed="false">
      <c r="A23" s="0" t="s">
        <v>40</v>
      </c>
      <c r="B23" s="0" t="n">
        <f aca="false">total_upfront_award_in_euro/measure_cost_in_euro</f>
        <v>0.225</v>
      </c>
      <c r="C23" s="2" t="n">
        <v>1E-006</v>
      </c>
    </row>
    <row r="24" customFormat="false" ht="15" hidden="false" customHeight="false" outlineLevel="0" collapsed="false">
      <c r="A24" s="0" t="s">
        <v>41</v>
      </c>
      <c r="B24" s="0" t="n">
        <f aca="false">total_upfront_award_in_euro</f>
        <v>9000</v>
      </c>
      <c r="C24" s="2" t="n">
        <v>0.01</v>
      </c>
      <c r="D24" s="0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