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Example" sheetId="1" state="visible" r:id="rId3"/>
  </sheets>
  <definedNames>
    <definedName function="false" hidden="false" name="bill_at_mean_price_in_euro" vbProcedure="false">Example!$B$25</definedName>
    <definedName function="false" hidden="false" name="cost_integrated_in_euro" vbProcedure="false">Example!$B$13</definedName>
    <definedName function="false" hidden="false" name="energy_bought_in_kwh" vbProcedure="false">Example!$B$12</definedName>
    <definedName function="false" hidden="false" name="energy_standing_in_euro" vbProcedure="false">Example!$B$23</definedName>
    <definedName function="false" hidden="false" name="energy_working_in_euro" vbProcedure="false">Example!$B$22</definedName>
    <definedName function="false" hidden="false" name="flexibility_value_in_euro" vbProcedure="false">Example!$B$26</definedName>
    <definedName function="false" hidden="false" name="grid_fee_in_euro_per_kwh" vbProcedure="false">Example!$B$16</definedName>
    <definedName function="false" hidden="false" name="marginal_price_components_in_euro_per_kwh" vbProcedure="false">Example!$B$21</definedName>
    <definedName function="false" hidden="false" name="markup_in_euro_per_kwh" vbProcedure="false">Example!$B$15</definedName>
    <definedName function="false" hidden="false" name="mean_spot_price_in_euro_per_kwh" vbProcedure="false">Example!$B$14</definedName>
    <definedName function="false" hidden="false" name="mean_working_price_in_euro_per_kwh" vbProcedure="false">Example!$B$27</definedName>
    <definedName function="false" hidden="false" name="standing_charge_in_euro_per_year" vbProcedure="false">Example!$B$18</definedName>
    <definedName function="false" hidden="false" name="supply_kind" vbProcedure="false">Example!$B$11</definedName>
    <definedName function="false" hidden="false" name="taxes_and_levies_in_euro_per_kwh" vbProcedure="false">Example!$B$17</definedName>
    <definedName function="false" hidden="false" name="total_bill_in_euro" vbProcedure="false">Example!$B$24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<sst xmlns="http://schemas.openxmlformats.org/spreadsheetml/2006/main" count="49" uniqueCount="47">
  <si>
    <t xml:space="preserve">METADATA</t>
  </si>
  <si>
    <t xml:space="preserve">value</t>
  </si>
  <si>
    <t xml:space="preserve">name</t>
  </si>
  <si>
    <t xml:space="preserve">dynamic_spot_integral</t>
  </si>
  <si>
    <t xml:space="preserve">spec_section</t>
  </si>
  <si>
    <t xml:space="preserve">8.4</t>
  </si>
  <si>
    <t xml:space="preserve">computed_by</t>
  </si>
  <si>
    <t xml:space="preserve">Claude draft + LibreOffice recalculation, 2026-08-12</t>
  </si>
  <si>
    <t xml:space="preserve">description</t>
  </si>
  <si>
    <t xml:space="preserve">A dynamic (spot) contract bills the cost the meter integrated during the simulation, not energy times an average price. 4,000 kWh were bought for 320 EUR of spot cost while the year's unweighted mean spot price was 0.10 EUR/kWh, so load shifting saved 80 EUR; the additive markup, grid fee and taxes are charged on the volume and carry no flexibility.</t>
  </si>
  <si>
    <t xml:space="preserve">reviewed_by</t>
  </si>
  <si>
    <t xml:space="preserve">reviewer name; empty until a human attested this revision (§3.8)</t>
  </si>
  <si>
    <t xml:space="preserve">review_date</t>
  </si>
  <si>
    <t xml:space="preserve">reviewed_fingerprint</t>
  </si>
  <si>
    <t xml:space="preserve">INPUTS</t>
  </si>
  <si>
    <t xml:space="preserve">comment</t>
  </si>
  <si>
    <t xml:space="preserve">supply_kind</t>
  </si>
  <si>
    <t xml:space="preserve">DYNAMIC</t>
  </si>
  <si>
    <t xml:space="preserve">TariffSupply.kind</t>
  </si>
  <si>
    <t xml:space="preserve">energy_bought_in_kwh</t>
  </si>
  <si>
    <t xml:space="preserve">annual metered consumption</t>
  </si>
  <si>
    <t xml:space="preserve">cost_integrated_in_euro</t>
  </si>
  <si>
    <t xml:space="preserve">integral of load x spot price over the simulated year</t>
  </si>
  <si>
    <t xml:space="preserve">mean_spot_price_in_euro_per_kwh</t>
  </si>
  <si>
    <t xml:space="preserve">unweighted annual mean of the spot series</t>
  </si>
  <si>
    <t xml:space="preserve">markup_in_euro_per_kwh</t>
  </si>
  <si>
    <t xml:space="preserve">supplier markup</t>
  </si>
  <si>
    <t xml:space="preserve">grid_fee_in_euro_per_kwh</t>
  </si>
  <si>
    <t xml:space="preserve">additive grid fee</t>
  </si>
  <si>
    <t xml:space="preserve">taxes_and_levies_in_euro_per_kwh</t>
  </si>
  <si>
    <t xml:space="preserve">additive taxes and levies</t>
  </si>
  <si>
    <t xml:space="preserve">standing_charge_in_euro_per_year</t>
  </si>
  <si>
    <t xml:space="preserve">basic charge</t>
  </si>
  <si>
    <t xml:space="preserve">EXPECTED</t>
  </si>
  <si>
    <t xml:space="preserve">abs_tol</t>
  </si>
  <si>
    <t xml:space="preserve">note</t>
  </si>
  <si>
    <t xml:space="preserve">sign convention: cost positive, revenue / subsidy / residual value negative</t>
  </si>
  <si>
    <t xml:space="preserve">marginal_price_components_in_euro_per_kwh</t>
  </si>
  <si>
    <t xml:space="preserve">energy_working_in_euro</t>
  </si>
  <si>
    <t xml:space="preserve">energy_standing_in_euro</t>
  </si>
  <si>
    <t xml:space="preserve">total_bill_in_euro</t>
  </si>
  <si>
    <t xml:space="preserve">bill_at_mean_price_in_euro</t>
  </si>
  <si>
    <t xml:space="preserve">what the same volume would have cost at the average price</t>
  </si>
  <si>
    <t xml:space="preserve">flexibility_value_in_euro</t>
  </si>
  <si>
    <t xml:space="preserve">the saving of buying in cheap hours instead of at the average price</t>
  </si>
  <si>
    <t xml:space="preserve">mean_working_price_in_euro_per_kwh</t>
  </si>
  <si>
    <t xml:space="preserve">a working price: it excludes the standing charge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</si>
</sst>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30"/>
    <col collapsed="false" customWidth="true" hidden="false" outlineLevel="0" max="4" min="4" style="1" width="60"/>
  </cols>
  <sheetData>
    <row r="1" customFormat="false" ht="15" hidden="false" customHeight="true" outlineLevel="0" collapsed="false">
      <c r="A1" s="2" t="s">
        <v>0</v>
      </c>
      <c r="B1" s="2" t="s">
        <v>1</v>
      </c>
      <c r="C1" s="3"/>
    </row>
    <row r="2" customFormat="false" ht="15" hidden="false" customHeight="true" outlineLevel="0" collapsed="false">
      <c r="A2" s="1" t="s">
        <v>2</v>
      </c>
      <c r="B2" s="1" t="s">
        <v>3</v>
      </c>
      <c r="C2" s="3"/>
    </row>
    <row r="3" customFormat="false" ht="15" hidden="false" customHeight="true" outlineLevel="0" collapsed="false">
      <c r="A3" s="1" t="s">
        <v>4</v>
      </c>
      <c r="B3" s="1" t="s">
        <v>5</v>
      </c>
      <c r="C3" s="3"/>
    </row>
    <row r="4" customFormat="false" ht="15" hidden="false" customHeight="true" outlineLevel="0" collapsed="false">
      <c r="A4" s="1" t="s">
        <v>6</v>
      </c>
      <c r="B4" s="1" t="s">
        <v>7</v>
      </c>
      <c r="C4" s="3"/>
    </row>
    <row r="5" customFormat="false" ht="15" hidden="false" customHeight="true" outlineLevel="0" collapsed="false">
      <c r="A5" s="1" t="s">
        <v>8</v>
      </c>
      <c r="B5" s="1" t="s">
        <v>9</v>
      </c>
      <c r="C5" s="3"/>
    </row>
    <row r="6" customFormat="false" ht="15" hidden="false" customHeight="true" outlineLevel="0" collapsed="false">
      <c r="A6" s="1" t="s">
        <v>10</v>
      </c>
      <c r="C6" s="3" t="s">
        <v>11</v>
      </c>
    </row>
    <row r="7" customFormat="false" ht="15" hidden="false" customHeight="true" outlineLevel="0" collapsed="false">
      <c r="A7" s="1" t="s">
        <v>12</v>
      </c>
      <c r="C7" s="3"/>
    </row>
    <row r="8" customFormat="false" ht="15" hidden="false" customHeight="true" outlineLevel="0" collapsed="false">
      <c r="A8" s="1" t="s">
        <v>13</v>
      </c>
      <c r="C8" s="3"/>
    </row>
    <row r="9" customFormat="false" ht="15" hidden="false" customHeight="true" outlineLevel="0" collapsed="false">
      <c r="C9" s="3"/>
    </row>
    <row r="10" customFormat="false" ht="15" hidden="false" customHeight="true" outlineLevel="0" collapsed="false">
      <c r="A10" s="2" t="s">
        <v>14</v>
      </c>
      <c r="B10" s="2" t="s">
        <v>1</v>
      </c>
      <c r="C10" s="4" t="s">
        <v>15</v>
      </c>
    </row>
    <row r="11" customFormat="false" ht="15" hidden="false" customHeight="true" outlineLevel="0" collapsed="false">
      <c r="A11" s="1" t="s">
        <v>16</v>
      </c>
      <c r="B11" s="1" t="s">
        <v>17</v>
      </c>
      <c r="C11" s="3" t="s">
        <v>18</v>
      </c>
    </row>
    <row r="12" customFormat="false" ht="15" hidden="false" customHeight="true" outlineLevel="0" collapsed="false">
      <c r="A12" s="1" t="s">
        <v>19</v>
      </c>
      <c r="B12" s="1" t="n">
        <v>4000</v>
      </c>
      <c r="C12" s="3" t="s">
        <v>20</v>
      </c>
    </row>
    <row r="13" customFormat="false" ht="15" hidden="false" customHeight="true" outlineLevel="0" collapsed="false">
      <c r="A13" s="1" t="s">
        <v>21</v>
      </c>
      <c r="B13" s="1" t="n">
        <v>320</v>
      </c>
      <c r="C13" s="3" t="s">
        <v>22</v>
      </c>
    </row>
    <row r="14" customFormat="false" ht="15" hidden="false" customHeight="true" outlineLevel="0" collapsed="false">
      <c r="A14" s="1" t="s">
        <v>23</v>
      </c>
      <c r="B14" s="1" t="n">
        <v>0.1</v>
      </c>
      <c r="C14" s="3" t="s">
        <v>24</v>
      </c>
    </row>
    <row r="15" customFormat="false" ht="15" hidden="false" customHeight="true" outlineLevel="0" collapsed="false">
      <c r="A15" s="1" t="s">
        <v>25</v>
      </c>
      <c r="B15" s="1" t="n">
        <v>0.02</v>
      </c>
      <c r="C15" s="3" t="s">
        <v>26</v>
      </c>
    </row>
    <row r="16" customFormat="false" ht="15" hidden="false" customHeight="true" outlineLevel="0" collapsed="false">
      <c r="A16" s="1" t="s">
        <v>27</v>
      </c>
      <c r="B16" s="1" t="n">
        <v>0.09</v>
      </c>
      <c r="C16" s="3" t="s">
        <v>28</v>
      </c>
    </row>
    <row r="17" customFormat="false" ht="15" hidden="false" customHeight="true" outlineLevel="0" collapsed="false">
      <c r="A17" s="1" t="s">
        <v>29</v>
      </c>
      <c r="B17" s="1" t="n">
        <v>0.06</v>
      </c>
      <c r="C17" s="3" t="s">
        <v>30</v>
      </c>
    </row>
    <row r="18" customFormat="false" ht="15" hidden="false" customHeight="true" outlineLevel="0" collapsed="false">
      <c r="A18" s="1" t="s">
        <v>31</v>
      </c>
      <c r="B18" s="1" t="n">
        <v>90</v>
      </c>
      <c r="C18" s="3" t="s">
        <v>32</v>
      </c>
    </row>
    <row r="19" customFormat="false" ht="15" hidden="false" customHeight="true" outlineLevel="0" collapsed="false">
      <c r="C19" s="3"/>
    </row>
    <row r="20" customFormat="false" ht="15" hidden="false" customHeight="true" outlineLevel="0" collapsed="false">
      <c r="A20" s="2" t="s">
        <v>33</v>
      </c>
      <c r="B20" s="2" t="s">
        <v>1</v>
      </c>
      <c r="C20" s="4" t="s">
        <v>34</v>
      </c>
      <c r="D20" s="2" t="s">
        <v>35</v>
      </c>
      <c r="E20" s="1" t="s">
        <v>36</v>
      </c>
    </row>
    <row r="21" customFormat="false" ht="15" hidden="false" customHeight="true" outlineLevel="0" collapsed="false">
      <c r="A21" s="1" t="s">
        <v>37</v>
      </c>
      <c r="B21" s="1" t="n">
        <f aca="false">markup_in_euro_per_kwh+grid_fee_in_euro_per_kwh+taxes_and_levies_in_euro_per_kwh</f>
        <v>0.17</v>
      </c>
      <c r="C21" s="3" t="n">
        <v>1E-006</v>
      </c>
    </row>
    <row r="22" customFormat="false" ht="15" hidden="false" customHeight="true" outlineLevel="0" collapsed="false">
      <c r="A22" s="1" t="s">
        <v>38</v>
      </c>
      <c r="B22" s="1" t="n">
        <f aca="false">cost_integrated_in_euro+energy_bought_in_kwh*marginal_price_components_in_euro_per_kwh</f>
        <v>1000</v>
      </c>
      <c r="C22" s="3" t="n">
        <v>0.01</v>
      </c>
    </row>
    <row r="23" customFormat="false" ht="15" hidden="false" customHeight="true" outlineLevel="0" collapsed="false">
      <c r="A23" s="1" t="s">
        <v>39</v>
      </c>
      <c r="B23" s="1" t="n">
        <f aca="false">standing_charge_in_euro_per_year</f>
        <v>90</v>
      </c>
      <c r="C23" s="3" t="n">
        <v>0.01</v>
      </c>
    </row>
    <row r="24" customFormat="false" ht="15" hidden="false" customHeight="true" outlineLevel="0" collapsed="false">
      <c r="A24" s="1" t="s">
        <v>40</v>
      </c>
      <c r="B24" s="1" t="n">
        <f aca="false">energy_working_in_euro+energy_standing_in_euro</f>
        <v>1090</v>
      </c>
      <c r="C24" s="3" t="n">
        <v>0.01</v>
      </c>
    </row>
    <row r="25" customFormat="false" ht="15" hidden="false" customHeight="true" outlineLevel="0" collapsed="false">
      <c r="A25" s="1" t="s">
        <v>41</v>
      </c>
      <c r="B25" s="1" t="n">
        <f aca="false">energy_bought_in_kwh*(mean_spot_price_in_euro_per_kwh+marginal_price_components_in_euro_per_kwh)</f>
        <v>1080</v>
      </c>
      <c r="C25" s="3" t="n">
        <v>0.01</v>
      </c>
      <c r="D25" s="1" t="s">
        <v>42</v>
      </c>
    </row>
    <row r="26" customFormat="false" ht="15" hidden="false" customHeight="true" outlineLevel="0" collapsed="false">
      <c r="A26" s="1" t="s">
        <v>43</v>
      </c>
      <c r="B26" s="1" t="n">
        <f aca="false">energy_bought_in_kwh*mean_spot_price_in_euro_per_kwh-cost_integrated_in_euro</f>
        <v>80</v>
      </c>
      <c r="C26" s="3" t="n">
        <v>0.01</v>
      </c>
      <c r="D26" s="1" t="s">
        <v>44</v>
      </c>
    </row>
    <row r="27" customFormat="false" ht="15" hidden="false" customHeight="true" outlineLevel="0" collapsed="false">
      <c r="A27" s="1" t="s">
        <v>45</v>
      </c>
      <c r="B27" s="1" t="n">
        <f aca="false">cost_integrated_in_euro/energy_bought_in_kwh+marginal_price_components_in_euro_per_kwh</f>
        <v>0.25</v>
      </c>
      <c r="C27" s="3" t="n">
        <v>1E-006</v>
      </c>
      <c r="D27" s="1" t="s">
        <v>46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2026-08-12T10:21:23Z</dcterms:created>
  <dc:creator>openpyxl</dc:creator>
  <dc:description/>
  <dc:language>en-US</dc:language>
  <cp:lastModifiedBy/>
  <dcterms:modified xsi:type="dcterms:W3CDTF">2026-09-08T10:07:52Z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