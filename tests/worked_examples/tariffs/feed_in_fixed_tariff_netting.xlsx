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energy_bought_in_kwh" vbProcedure="false">Example!$B$12</definedName>
    <definedName function="false" hidden="false" name="energy_sold_in_kwh" vbProcedure="false">Example!$B$13</definedName>
    <definedName function="false" hidden="false" name="energy_standing_in_euro" vbProcedure="false">Example!$B$21</definedName>
    <definedName function="false" hidden="false" name="energy_working_in_euro" vbProcedure="false">Example!$B$20</definedName>
    <definedName function="false" hidden="false" name="feed_in_kind" vbProcedure="false">Example!$B$15</definedName>
    <definedName function="false" hidden="false" name="feed_in_rate_in_euro_per_kwh" vbProcedure="false">Example!$B$16</definedName>
    <definedName function="false" hidden="false" name="feed_in_revenue_in_euro" vbProcedure="false">Example!$B$22</definedName>
    <definedName function="false" hidden="false" name="standing_charge_in_euro_per_year" vbProcedure="false">Example!$B$17</definedName>
    <definedName function="false" hidden="false" name="supply_kind" vbProcedure="false">Example!$B$11</definedName>
    <definedName function="false" hidden="false" name="total_bill_in_euro" vbProcedure="false">Example!$B$23</definedName>
    <definedName function="false" hidden="false" name="working_price_in_euro_per_kwh" vbProcedure="false">Example!$B$14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<sst xmlns="http://schemas.openxmlformats.org/spreadsheetml/2006/main" count="43" uniqueCount="41">
  <si>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METADATA</t>
  </si>
  <si>
    <t xml:space="preserve">value</t>
  </si>
  <si>
    <t xml:space="preserve">name</t>
  </si>
  <si>
    <t xml:space="preserve">feed_in_fixed_tariff_netting</t>
  </si>
  <si>
    <t xml:space="preserve">spec_section</t>
  </si>
  <si>
    <t xml:space="preserve">8.4</t>
  </si>
  <si>
    <t xml:space="preserve">computed_by</t>
  </si>
  <si>
    <t xml:space="preserve">Claude draft + LibreOffice recalculation, 2026-08-12</t>
  </si>
  <si>
    <t xml:space="preserve">description</t>
  </si>
  <si>
    <t xml:space="preserve">A prosumer household: 2,800 kWh bought at 0.32 EUR/kWh and 3,200 kWh fed in at a fixed 0.082 EUR/kWh tariff. Feed-in revenue is a negative entry under the engine's sign convention, so the bill is purchase cost plus standing charge minus the revenue.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</si>
  <si>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</si>
  <si>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</si>
  <si>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</si>
  <si>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</si>
  <si>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</si>
  <si>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</si>
  <si>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supply_kind</t>
  </si>
  <si>
    <t xml:space="preserve">FLAT</t>
  </si>
  <si>
    <t xml:space="preserve">TariffSupply.kind</t>
  </si>
  <si>
    <t xml:space="preserve">energy_bought_in_kwh</t>
  </si>
  <si>
    <t xml:space="preserve">annual metered purchase</t>
  </si>
  <si>
    <t xml:space="preserve">energy_sold_in_kwh</t>
  </si>
  <si>
    <t xml:space="preserve">annual metered feed-in</t>
  </si>
  <si>
    <t xml:space="preserve">working_price_in_euro_per_kwh</t>
  </si>
  <si>
    <t xml:space="preserve">all-in energy price</t>
  </si>
  <si>
    <t xml:space="preserve">feed_in_kind</t>
  </si>
  <si>
    <t xml:space="preserve">FIXED_TARIFF</t>
  </si>
  <si>
    <t xml:space="preserve">FeedIn.kind</t>
  </si>
  <si>
    <t xml:space="preserve">feed_in_rate_in_euro_per_kwh</t>
  </si>
  <si>
    <t xml:space="preserve">statutory fixed feed-in tariff</t>
  </si>
  <si>
    <t xml:space="preserve">standing_charge_in_euro_per_year</t>
  </si>
  <si>
    <t xml:space="preserve">basic charge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</si>
  <si>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</si>
  <si>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</si>
  <si>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</si>
  <si>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</si>
  <si>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energy_working_in_euro</t>
  </si>
  <si>
    <t xml:space="preserve">energy_standing_in_euro</t>
  </si>
  <si>
    <t xml:space="preserve">feed_in_revenue_in_euro</t>
  </si>
  <si>
    <t xml:space="preserve">negative: revenue under the cost-positive sign convention</t>
  </si>
  <si>
    <t xml:space="preserve">total_bill_in_euro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</si>
</sst>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2"/>
    </row>
    <row r="2" customFormat="false" ht="15" hidden="false" customHeight="false" outlineLevel="0" collapsed="false">
      <c r="A2" s="0" t="s">
        <v>2</v>
      </c>
      <c r="B2" s="0" t="s">
        <v>3</v>
      </c>
      <c r="C2" s="2"/>
    </row>
    <row r="3" customFormat="false" ht="15" hidden="false" customHeight="false" outlineLevel="0" collapsed="false">
      <c r="A3" s="0" t="s">
        <v>4</v>
      </c>
      <c r="B3" s="0" t="s">
        <v>5</v>
      </c>
      <c r="C3" s="2"/>
    </row>
    <row r="4" customFormat="false" ht="15" hidden="false" customHeight="false" outlineLevel="0" collapsed="false">
      <c r="A4" s="0" t="s">
        <v>6</v>
      </c>
      <c r="B4" s="0" t="s">
        <v>7</v>
      </c>
      <c r="C4" s="2"/>
    </row>
    <row r="5" customFormat="false" ht="15" hidden="false" customHeight="false" outlineLevel="0" collapsed="false">
      <c r="A5" s="0" t="s">
        <v>8</v>
      </c>
      <c r="B5" s="0" t="s">
        <v>9</v>
      </c>
      <c r="C5" s="2"/>
    </row>
    <row r="6" customFormat="false" ht="15" hidden="false" customHeight="false" outlineLevel="0" collapsed="false">
      <c r="A6" s="0" t="s">
        <v>10</v>
      </c>
      <c r="C6" s="2" t="s">
        <v>11</v>
      </c>
    </row>
    <row r="7" customFormat="false" ht="15" hidden="false" customHeight="false" outlineLevel="0" collapsed="false">
      <c r="A7" s="0" t="s">
        <v>12</v>
      </c>
      <c r="C7" s="2"/>
    </row>
    <row r="8" customFormat="false" ht="15" hidden="false" customHeight="false" outlineLevel="0" collapsed="false">
      <c r="A8" s="0" t="s">
        <v>13</v>
      </c>
      <c r="C8" s="2"/>
    </row>
    <row r="9" customFormat="false" ht="15" hidden="false" customHeight="false" outlineLevel="0" collapsed="false">
      <c r="C9" s="2"/>
    </row>
    <row r="10" customFormat="false" ht="15" hidden="false" customHeight="false" outlineLevel="0" collapsed="false">
      <c r="A10" s="1" t="s">
        <v>14</v>
      </c>
      <c r="B10" s="1" t="s">
        <v>1</v>
      </c>
      <c r="C10" s="3" t="s">
        <v>15</v>
      </c>
    </row>
    <row r="11" customFormat="false" ht="15" hidden="false" customHeight="false" outlineLevel="0" collapsed="false">
      <c r="A11" s="0" t="s">
        <v>16</v>
      </c>
      <c r="B11" s="0" t="s">
        <v>17</v>
      </c>
      <c r="C11" s="2" t="s">
        <v>18</v>
      </c>
    </row>
    <row r="12" customFormat="false" ht="15" hidden="false" customHeight="false" outlineLevel="0" collapsed="false">
      <c r="A12" s="0" t="s">
        <v>19</v>
      </c>
      <c r="B12" s="0" t="n">
        <v>2800</v>
      </c>
      <c r="C12" s="2" t="s">
        <v>20</v>
      </c>
    </row>
    <row r="13" customFormat="false" ht="15" hidden="false" customHeight="false" outlineLevel="0" collapsed="false">
      <c r="A13" s="0" t="s">
        <v>21</v>
      </c>
      <c r="B13" s="0" t="n">
        <v>3200</v>
      </c>
      <c r="C13" s="2" t="s">
        <v>22</v>
      </c>
    </row>
    <row r="14" customFormat="false" ht="15" hidden="false" customHeight="false" outlineLevel="0" collapsed="false">
      <c r="A14" s="0" t="s">
        <v>23</v>
      </c>
      <c r="B14" s="0" t="n">
        <v>0.32</v>
      </c>
      <c r="C14" s="2" t="s">
        <v>24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2" t="s">
        <v>27</v>
      </c>
    </row>
    <row r="16" customFormat="false" ht="15" hidden="false" customHeight="false" outlineLevel="0" collapsed="false">
      <c r="A16" s="0" t="s">
        <v>28</v>
      </c>
      <c r="B16" s="0" t="n">
        <v>0.082</v>
      </c>
      <c r="C16" s="2" t="s">
        <v>29</v>
      </c>
    </row>
    <row r="17" customFormat="false" ht="15" hidden="false" customHeight="false" outlineLevel="0" collapsed="false">
      <c r="A17" s="0" t="s">
        <v>30</v>
      </c>
      <c r="B17" s="0" t="n">
        <v>110</v>
      </c>
      <c r="C17" s="2" t="s">
        <v>31</v>
      </c>
    </row>
    <row r="18" customFormat="false" ht="15" hidden="false" customHeight="false" outlineLevel="0" collapsed="false">
      <c r="C18" s="2"/>
    </row>
    <row r="19" customFormat="false" ht="15" hidden="false" customHeight="false" outlineLevel="0" collapsed="false">
      <c r="A19" s="1" t="s">
        <v>32</v>
      </c>
      <c r="B19" s="1" t="s">
        <v>1</v>
      </c>
      <c r="C19" s="3" t="s">
        <v>33</v>
      </c>
      <c r="D19" s="1" t="s">
        <v>34</v>
      </c>
      <c r="E19" s="0" t="s">
        <v>35</v>
      </c>
    </row>
    <row r="20" customFormat="false" ht="15" hidden="false" customHeight="false" outlineLevel="0" collapsed="false">
      <c r="A20" s="0" t="s">
        <v>36</v>
      </c>
      <c r="B20" s="0" t="n">
        <f aca="false">energy_bought_in_kwh*working_price_in_euro_per_kwh</f>
        <v>896</v>
      </c>
      <c r="C20" s="2" t="n">
        <v>0.01</v>
      </c>
    </row>
    <row r="21" customFormat="false" ht="15" hidden="false" customHeight="false" outlineLevel="0" collapsed="false">
      <c r="A21" s="0" t="s">
        <v>37</v>
      </c>
      <c r="B21" s="0" t="n">
        <f aca="false">standing_charge_in_euro_per_year</f>
        <v>110</v>
      </c>
      <c r="C21" s="2" t="n">
        <v>0.01</v>
      </c>
    </row>
    <row r="22" customFormat="false" ht="15" hidden="false" customHeight="false" outlineLevel="0" collapsed="false">
      <c r="A22" s="0" t="s">
        <v>38</v>
      </c>
      <c r="B22" s="0" t="n">
        <f aca="false">-energy_sold_in_kwh*feed_in_rate_in_euro_per_kwh</f>
        <v>-262.4</v>
      </c>
      <c r="C22" s="2" t="n">
        <v>0.01</v>
      </c>
      <c r="D22" s="0" t="s">
        <v>39</v>
      </c>
    </row>
    <row r="23" customFormat="false" ht="15" hidden="false" customHeight="false" outlineLevel="0" collapsed="false">
      <c r="A23" s="0" t="s">
        <v>40</v>
      </c>
      <c r="B23" s="0" t="n">
        <f aca="false">energy_working_in_euro+energy_standing_in_euro+feed_in_revenue_in_euro</f>
        <v>743.6</v>
      </c>
      <c r="C23" s="2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2026-08-12T10:21:23Z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